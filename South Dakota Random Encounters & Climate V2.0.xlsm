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se\Desktop\Wild West\"/>
    </mc:Choice>
  </mc:AlternateContent>
  <xr:revisionPtr revIDLastSave="0" documentId="13_ncr:1_{C2DEBAA9-17E8-4A9D-A1D5-2DA853AF5A6A}" xr6:coauthVersionLast="40" xr6:coauthVersionMax="40" xr10:uidLastSave="{00000000-0000-0000-0000-000000000000}"/>
  <bookViews>
    <workbookView xWindow="0" yWindow="0" windowWidth="20490" windowHeight="6885" tabRatio="909" activeTab="3" xr2:uid="{00000000-000D-0000-FFFF-FFFF00000000}"/>
  </bookViews>
  <sheets>
    <sheet name="Generator" sheetId="1" r:id="rId1"/>
    <sheet name="Charts" sheetId="2" r:id="rId2"/>
    <sheet name="Calculations" sheetId="3" r:id="rId3"/>
    <sheet name="Curve Chart" sheetId="5" r:id="rId4"/>
    <sheet name="OE Rolls" sheetId="4" r:id="rId5"/>
    <sheet name="Macro Data" sheetId="6" r:id="rId6"/>
  </sheets>
  <definedNames>
    <definedName name="SolarChart">Charts!$A$4:$J$369</definedName>
    <definedName name="TemperatureModificationChart">Charts!$V$3:$AA$203</definedName>
    <definedName name="TemperatureModificationChart2">Charts!$AC$3:$AH$203</definedName>
    <definedName name="TerrainEffectChart">Charts!$AJ$4:$AM$12</definedName>
    <definedName name="WeatherChart">Charts!$A$4:$T$369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40" i="2" l="1"/>
  <c r="L341" i="2" s="1"/>
  <c r="L342" i="2" s="1"/>
  <c r="L343" i="2" s="1"/>
  <c r="L344" i="2" s="1"/>
  <c r="L345" i="2" s="1"/>
  <c r="L346" i="2" s="1"/>
  <c r="L347" i="2" s="1"/>
  <c r="L348" i="2" s="1"/>
  <c r="L349" i="2" s="1"/>
  <c r="L350" i="2" s="1"/>
  <c r="L351" i="2" s="1"/>
  <c r="L352" i="2" s="1"/>
  <c r="L353" i="2" s="1"/>
  <c r="L354" i="2" s="1"/>
  <c r="L355" i="2" s="1"/>
  <c r="L356" i="2" s="1"/>
  <c r="L357" i="2" s="1"/>
  <c r="L358" i="2" s="1"/>
  <c r="L359" i="2" s="1"/>
  <c r="L360" i="2" s="1"/>
  <c r="L361" i="2" s="1"/>
  <c r="L362" i="2" s="1"/>
  <c r="L363" i="2" s="1"/>
  <c r="L364" i="2" s="1"/>
  <c r="L365" i="2" s="1"/>
  <c r="L366" i="2" s="1"/>
  <c r="L367" i="2" s="1"/>
  <c r="L368" i="2" s="1"/>
  <c r="L369" i="2" s="1"/>
  <c r="L311" i="2"/>
  <c r="L312" i="2" s="1"/>
  <c r="L313" i="2" s="1"/>
  <c r="L314" i="2" s="1"/>
  <c r="L315" i="2" s="1"/>
  <c r="L316" i="2" s="1"/>
  <c r="L317" i="2" s="1"/>
  <c r="L318" i="2" s="1"/>
  <c r="L319" i="2" s="1"/>
  <c r="L320" i="2" s="1"/>
  <c r="L321" i="2" s="1"/>
  <c r="L322" i="2" s="1"/>
  <c r="L323" i="2" s="1"/>
  <c r="L324" i="2" s="1"/>
  <c r="L325" i="2" s="1"/>
  <c r="L326" i="2" s="1"/>
  <c r="L327" i="2" s="1"/>
  <c r="L328" i="2" s="1"/>
  <c r="L329" i="2" s="1"/>
  <c r="L330" i="2" s="1"/>
  <c r="L331" i="2" s="1"/>
  <c r="L332" i="2" s="1"/>
  <c r="L333" i="2" s="1"/>
  <c r="L334" i="2" s="1"/>
  <c r="L335" i="2" s="1"/>
  <c r="L336" i="2" s="1"/>
  <c r="L337" i="2" s="1"/>
  <c r="L338" i="2" s="1"/>
  <c r="L310" i="2"/>
  <c r="L280" i="2"/>
  <c r="L281" i="2" s="1"/>
  <c r="L282" i="2" s="1"/>
  <c r="L283" i="2" s="1"/>
  <c r="L284" i="2" s="1"/>
  <c r="L285" i="2" s="1"/>
  <c r="L286" i="2" s="1"/>
  <c r="L287" i="2" s="1"/>
  <c r="L288" i="2" s="1"/>
  <c r="L289" i="2" s="1"/>
  <c r="L290" i="2" s="1"/>
  <c r="L291" i="2" s="1"/>
  <c r="L292" i="2" s="1"/>
  <c r="L293" i="2" s="1"/>
  <c r="L294" i="2" s="1"/>
  <c r="L295" i="2" s="1"/>
  <c r="L296" i="2" s="1"/>
  <c r="L297" i="2" s="1"/>
  <c r="L298" i="2" s="1"/>
  <c r="L299" i="2" s="1"/>
  <c r="L300" i="2" s="1"/>
  <c r="L301" i="2" s="1"/>
  <c r="L302" i="2" s="1"/>
  <c r="L303" i="2" s="1"/>
  <c r="L304" i="2" s="1"/>
  <c r="L305" i="2" s="1"/>
  <c r="L306" i="2" s="1"/>
  <c r="L307" i="2" s="1"/>
  <c r="L308" i="2" s="1"/>
  <c r="L279" i="2"/>
  <c r="L249" i="2"/>
  <c r="L250" i="2" s="1"/>
  <c r="L251" i="2" s="1"/>
  <c r="L252" i="2" s="1"/>
  <c r="L253" i="2" s="1"/>
  <c r="L254" i="2" s="1"/>
  <c r="L255" i="2" s="1"/>
  <c r="L256" i="2" s="1"/>
  <c r="L257" i="2" s="1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L274" i="2" s="1"/>
  <c r="L275" i="2" s="1"/>
  <c r="L276" i="2" s="1"/>
  <c r="L277" i="2" s="1"/>
  <c r="L218" i="2"/>
  <c r="L219" i="2" s="1"/>
  <c r="L220" i="2" s="1"/>
  <c r="L221" i="2" s="1"/>
  <c r="L222" i="2" s="1"/>
  <c r="L223" i="2" s="1"/>
  <c r="L224" i="2" s="1"/>
  <c r="L225" i="2" s="1"/>
  <c r="L226" i="2" s="1"/>
  <c r="L227" i="2" s="1"/>
  <c r="L228" i="2" s="1"/>
  <c r="L229" i="2" s="1"/>
  <c r="L230" i="2" s="1"/>
  <c r="L231" i="2" s="1"/>
  <c r="L232" i="2" s="1"/>
  <c r="L233" i="2" s="1"/>
  <c r="L234" i="2" s="1"/>
  <c r="L235" i="2" s="1"/>
  <c r="L236" i="2" s="1"/>
  <c r="L237" i="2" s="1"/>
  <c r="L238" i="2" s="1"/>
  <c r="L239" i="2" s="1"/>
  <c r="L240" i="2" s="1"/>
  <c r="L241" i="2" s="1"/>
  <c r="L242" i="2" s="1"/>
  <c r="L243" i="2" s="1"/>
  <c r="L244" i="2" s="1"/>
  <c r="L245" i="2" s="1"/>
  <c r="L246" i="2" s="1"/>
  <c r="L247" i="2" s="1"/>
  <c r="L187" i="2"/>
  <c r="L188" i="2" s="1"/>
  <c r="L189" i="2" s="1"/>
  <c r="L190" i="2" s="1"/>
  <c r="L191" i="2" s="1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L203" i="2" s="1"/>
  <c r="L204" i="2" s="1"/>
  <c r="L205" i="2" s="1"/>
  <c r="L206" i="2" s="1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L157" i="2"/>
  <c r="L158" i="2" s="1"/>
  <c r="L159" i="2" s="1"/>
  <c r="L160" i="2" s="1"/>
  <c r="L161" i="2" s="1"/>
  <c r="L162" i="2" s="1"/>
  <c r="L163" i="2" s="1"/>
  <c r="L164" i="2" s="1"/>
  <c r="L165" i="2" s="1"/>
  <c r="L166" i="2" s="1"/>
  <c r="L167" i="2" s="1"/>
  <c r="L168" i="2" s="1"/>
  <c r="L169" i="2" s="1"/>
  <c r="L170" i="2" s="1"/>
  <c r="L171" i="2" s="1"/>
  <c r="L172" i="2" s="1"/>
  <c r="L173" i="2" s="1"/>
  <c r="L174" i="2" s="1"/>
  <c r="L175" i="2" s="1"/>
  <c r="L176" i="2" s="1"/>
  <c r="L177" i="2" s="1"/>
  <c r="L178" i="2" s="1"/>
  <c r="L179" i="2" s="1"/>
  <c r="L180" i="2" s="1"/>
  <c r="L181" i="2" s="1"/>
  <c r="L182" i="2" s="1"/>
  <c r="L183" i="2" s="1"/>
  <c r="L184" i="2" s="1"/>
  <c r="L185" i="2" s="1"/>
  <c r="L126" i="2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L96" i="2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65" i="2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36" i="2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7" i="2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5" i="2"/>
  <c r="L6" i="2" s="1"/>
  <c r="K340" i="2"/>
  <c r="K341" i="2" s="1"/>
  <c r="K342" i="2" s="1"/>
  <c r="K343" i="2" s="1"/>
  <c r="K344" i="2" s="1"/>
  <c r="K345" i="2" s="1"/>
  <c r="K346" i="2" s="1"/>
  <c r="K347" i="2" s="1"/>
  <c r="K348" i="2" s="1"/>
  <c r="K349" i="2" s="1"/>
  <c r="K350" i="2" s="1"/>
  <c r="K351" i="2" s="1"/>
  <c r="K352" i="2" s="1"/>
  <c r="K353" i="2" s="1"/>
  <c r="K354" i="2" s="1"/>
  <c r="K355" i="2" s="1"/>
  <c r="K356" i="2" s="1"/>
  <c r="K357" i="2" s="1"/>
  <c r="K358" i="2" s="1"/>
  <c r="K359" i="2" s="1"/>
  <c r="K360" i="2" s="1"/>
  <c r="K361" i="2" s="1"/>
  <c r="K362" i="2" s="1"/>
  <c r="K363" i="2" s="1"/>
  <c r="K364" i="2" s="1"/>
  <c r="K365" i="2" s="1"/>
  <c r="K366" i="2" s="1"/>
  <c r="K367" i="2" s="1"/>
  <c r="K368" i="2" s="1"/>
  <c r="K369" i="2" s="1"/>
  <c r="K311" i="2"/>
  <c r="K312" i="2" s="1"/>
  <c r="K313" i="2" s="1"/>
  <c r="K314" i="2" s="1"/>
  <c r="K315" i="2" s="1"/>
  <c r="K316" i="2" s="1"/>
  <c r="K317" i="2" s="1"/>
  <c r="K318" i="2" s="1"/>
  <c r="K319" i="2" s="1"/>
  <c r="K320" i="2" s="1"/>
  <c r="K321" i="2" s="1"/>
  <c r="K322" i="2" s="1"/>
  <c r="K323" i="2" s="1"/>
  <c r="K324" i="2" s="1"/>
  <c r="K325" i="2" s="1"/>
  <c r="K326" i="2" s="1"/>
  <c r="K327" i="2" s="1"/>
  <c r="K328" i="2" s="1"/>
  <c r="K329" i="2" s="1"/>
  <c r="K330" i="2" s="1"/>
  <c r="K331" i="2" s="1"/>
  <c r="K332" i="2" s="1"/>
  <c r="K333" i="2" s="1"/>
  <c r="K334" i="2" s="1"/>
  <c r="K335" i="2" s="1"/>
  <c r="K336" i="2" s="1"/>
  <c r="K337" i="2" s="1"/>
  <c r="K338" i="2" s="1"/>
  <c r="K310" i="2"/>
  <c r="K280" i="2"/>
  <c r="K281" i="2" s="1"/>
  <c r="K282" i="2" s="1"/>
  <c r="K283" i="2" s="1"/>
  <c r="K284" i="2" s="1"/>
  <c r="K285" i="2" s="1"/>
  <c r="K286" i="2" s="1"/>
  <c r="K287" i="2" s="1"/>
  <c r="K288" i="2" s="1"/>
  <c r="K289" i="2" s="1"/>
  <c r="K290" i="2" s="1"/>
  <c r="K291" i="2" s="1"/>
  <c r="K292" i="2" s="1"/>
  <c r="K293" i="2" s="1"/>
  <c r="K294" i="2" s="1"/>
  <c r="K295" i="2" s="1"/>
  <c r="K296" i="2" s="1"/>
  <c r="K297" i="2" s="1"/>
  <c r="K298" i="2" s="1"/>
  <c r="K299" i="2" s="1"/>
  <c r="K300" i="2" s="1"/>
  <c r="K301" i="2" s="1"/>
  <c r="K302" i="2" s="1"/>
  <c r="K303" i="2" s="1"/>
  <c r="K304" i="2" s="1"/>
  <c r="K305" i="2" s="1"/>
  <c r="K306" i="2" s="1"/>
  <c r="K307" i="2" s="1"/>
  <c r="K308" i="2" s="1"/>
  <c r="K279" i="2"/>
  <c r="K249" i="2"/>
  <c r="K250" i="2" s="1"/>
  <c r="K251" i="2" s="1"/>
  <c r="K252" i="2" s="1"/>
  <c r="K253" i="2" s="1"/>
  <c r="K254" i="2" s="1"/>
  <c r="K255" i="2" s="1"/>
  <c r="K256" i="2" s="1"/>
  <c r="K257" i="2" s="1"/>
  <c r="K258" i="2" s="1"/>
  <c r="K259" i="2" s="1"/>
  <c r="K260" i="2" s="1"/>
  <c r="K261" i="2" s="1"/>
  <c r="K262" i="2" s="1"/>
  <c r="K263" i="2" s="1"/>
  <c r="K264" i="2" s="1"/>
  <c r="K265" i="2" s="1"/>
  <c r="K266" i="2" s="1"/>
  <c r="K267" i="2" s="1"/>
  <c r="K268" i="2" s="1"/>
  <c r="K269" i="2" s="1"/>
  <c r="K270" i="2" s="1"/>
  <c r="K271" i="2" s="1"/>
  <c r="K272" i="2" s="1"/>
  <c r="K273" i="2" s="1"/>
  <c r="K274" i="2" s="1"/>
  <c r="K275" i="2" s="1"/>
  <c r="K276" i="2" s="1"/>
  <c r="K277" i="2" s="1"/>
  <c r="K220" i="2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1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243" i="2" s="1"/>
  <c r="K244" i="2" s="1"/>
  <c r="K245" i="2" s="1"/>
  <c r="K246" i="2" s="1"/>
  <c r="K247" i="2" s="1"/>
  <c r="K218" i="2"/>
  <c r="K219" i="2" s="1"/>
  <c r="K188" i="2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187" i="2"/>
  <c r="K157" i="2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26" i="2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97" i="2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96" i="2"/>
  <c r="K66" i="2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65" i="2"/>
  <c r="K37" i="2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36" i="2"/>
  <c r="K6" i="2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5" i="2"/>
  <c r="O340" i="2"/>
  <c r="O341" i="2" s="1"/>
  <c r="O342" i="2" s="1"/>
  <c r="O343" i="2" s="1"/>
  <c r="O344" i="2" s="1"/>
  <c r="O345" i="2" s="1"/>
  <c r="O346" i="2" s="1"/>
  <c r="O347" i="2" s="1"/>
  <c r="O348" i="2" s="1"/>
  <c r="O349" i="2" s="1"/>
  <c r="O350" i="2" s="1"/>
  <c r="O351" i="2" s="1"/>
  <c r="O352" i="2" s="1"/>
  <c r="O353" i="2" s="1"/>
  <c r="O354" i="2" s="1"/>
  <c r="O355" i="2" s="1"/>
  <c r="O356" i="2" s="1"/>
  <c r="O357" i="2" s="1"/>
  <c r="O358" i="2" s="1"/>
  <c r="O359" i="2" s="1"/>
  <c r="O360" i="2" s="1"/>
  <c r="O361" i="2" s="1"/>
  <c r="O362" i="2" s="1"/>
  <c r="O363" i="2" s="1"/>
  <c r="O364" i="2" s="1"/>
  <c r="O365" i="2" s="1"/>
  <c r="O366" i="2" s="1"/>
  <c r="O367" i="2" s="1"/>
  <c r="O368" i="2" s="1"/>
  <c r="O369" i="2" s="1"/>
  <c r="O310" i="2"/>
  <c r="O311" i="2" s="1"/>
  <c r="O312" i="2" s="1"/>
  <c r="O313" i="2" s="1"/>
  <c r="O314" i="2" s="1"/>
  <c r="O315" i="2" s="1"/>
  <c r="O316" i="2" s="1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O336" i="2" s="1"/>
  <c r="O337" i="2" s="1"/>
  <c r="O338" i="2" s="1"/>
  <c r="O279" i="2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O302" i="2" s="1"/>
  <c r="O303" i="2" s="1"/>
  <c r="O304" i="2" s="1"/>
  <c r="O305" i="2" s="1"/>
  <c r="O306" i="2" s="1"/>
  <c r="O307" i="2" s="1"/>
  <c r="O308" i="2" s="1"/>
  <c r="O249" i="2"/>
  <c r="O250" i="2" s="1"/>
  <c r="O251" i="2" s="1"/>
  <c r="O252" i="2" s="1"/>
  <c r="O253" i="2" s="1"/>
  <c r="O254" i="2" s="1"/>
  <c r="O255" i="2" s="1"/>
  <c r="O256" i="2" s="1"/>
  <c r="O257" i="2" s="1"/>
  <c r="O258" i="2" s="1"/>
  <c r="O259" i="2" s="1"/>
  <c r="O260" i="2" s="1"/>
  <c r="O261" i="2" s="1"/>
  <c r="O262" i="2" s="1"/>
  <c r="O263" i="2" s="1"/>
  <c r="O264" i="2" s="1"/>
  <c r="O265" i="2" s="1"/>
  <c r="O266" i="2" s="1"/>
  <c r="O267" i="2" s="1"/>
  <c r="O268" i="2" s="1"/>
  <c r="O269" i="2" s="1"/>
  <c r="O270" i="2" s="1"/>
  <c r="O271" i="2" s="1"/>
  <c r="O272" i="2" s="1"/>
  <c r="O273" i="2" s="1"/>
  <c r="O274" i="2" s="1"/>
  <c r="O275" i="2" s="1"/>
  <c r="O276" i="2" s="1"/>
  <c r="O277" i="2" s="1"/>
  <c r="O218" i="2"/>
  <c r="O219" i="2" s="1"/>
  <c r="O220" i="2" s="1"/>
  <c r="O221" i="2" s="1"/>
  <c r="O222" i="2" s="1"/>
  <c r="O223" i="2" s="1"/>
  <c r="O224" i="2" s="1"/>
  <c r="O225" i="2" s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187" i="2"/>
  <c r="O188" i="2" s="1"/>
  <c r="O189" i="2" s="1"/>
  <c r="O190" i="2" s="1"/>
  <c r="O191" i="2" s="1"/>
  <c r="O192" i="2" s="1"/>
  <c r="O193" i="2" s="1"/>
  <c r="O194" i="2" s="1"/>
  <c r="O195" i="2" s="1"/>
  <c r="O196" i="2" s="1"/>
  <c r="O197" i="2" s="1"/>
  <c r="O198" i="2" s="1"/>
  <c r="O199" i="2" s="1"/>
  <c r="O200" i="2" s="1"/>
  <c r="O201" i="2" s="1"/>
  <c r="O202" i="2" s="1"/>
  <c r="O203" i="2" s="1"/>
  <c r="O204" i="2" s="1"/>
  <c r="O205" i="2" s="1"/>
  <c r="O206" i="2" s="1"/>
  <c r="O207" i="2" s="1"/>
  <c r="O208" i="2" s="1"/>
  <c r="O209" i="2" s="1"/>
  <c r="O210" i="2" s="1"/>
  <c r="O211" i="2" s="1"/>
  <c r="O212" i="2" s="1"/>
  <c r="O213" i="2" s="1"/>
  <c r="O214" i="2" s="1"/>
  <c r="O215" i="2" s="1"/>
  <c r="O216" i="2" s="1"/>
  <c r="O157" i="2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O170" i="2" s="1"/>
  <c r="O171" i="2" s="1"/>
  <c r="O172" i="2" s="1"/>
  <c r="O173" i="2" s="1"/>
  <c r="O174" i="2" s="1"/>
  <c r="O175" i="2" s="1"/>
  <c r="O176" i="2" s="1"/>
  <c r="O177" i="2" s="1"/>
  <c r="O178" i="2" s="1"/>
  <c r="O179" i="2" s="1"/>
  <c r="O180" i="2" s="1"/>
  <c r="O181" i="2" s="1"/>
  <c r="O182" i="2" s="1"/>
  <c r="O183" i="2" s="1"/>
  <c r="O184" i="2" s="1"/>
  <c r="O185" i="2" s="1"/>
  <c r="O126" i="2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96" i="2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65" i="2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36" i="2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5" i="2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H68" i="3"/>
  <c r="B26" i="1"/>
  <c r="H40" i="3"/>
  <c r="B10" i="4"/>
  <c r="C10" i="4" s="1"/>
  <c r="D10" i="4" s="1"/>
  <c r="B9" i="4"/>
  <c r="N340" i="2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10" i="2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279" i="2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250" i="2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49" i="2"/>
  <c r="N218" i="2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187" i="2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157" i="2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26" i="2"/>
  <c r="N97" i="2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96" i="2"/>
  <c r="N66" i="2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65" i="2"/>
  <c r="N37" i="2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36" i="2"/>
  <c r="N5" i="2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B27" i="5"/>
  <c r="B26" i="5"/>
  <c r="B25" i="5"/>
  <c r="B24" i="5"/>
  <c r="B23" i="5"/>
  <c r="B22" i="5"/>
  <c r="B20" i="5"/>
  <c r="E10" i="4" l="1"/>
  <c r="F10" i="4" s="1"/>
  <c r="H66" i="3" s="1"/>
  <c r="C9" i="4"/>
  <c r="D9" i="4" s="1"/>
  <c r="D20" i="5"/>
  <c r="B17" i="5"/>
  <c r="B16" i="5"/>
  <c r="B15" i="5"/>
  <c r="B7" i="4"/>
  <c r="B6" i="4"/>
  <c r="B5" i="4"/>
  <c r="B4" i="4"/>
  <c r="C4" i="4" s="1"/>
  <c r="X68" i="2"/>
  <c r="X69" i="2" s="1"/>
  <c r="X70" i="2" s="1"/>
  <c r="X71" i="2" s="1"/>
  <c r="X72" i="2" s="1"/>
  <c r="X73" i="2" s="1"/>
  <c r="X74" i="2" s="1"/>
  <c r="X75" i="2" s="1"/>
  <c r="X76" i="2" s="1"/>
  <c r="X77" i="2" s="1"/>
  <c r="X78" i="2" s="1"/>
  <c r="X79" i="2" s="1"/>
  <c r="X80" i="2" s="1"/>
  <c r="X81" i="2" s="1"/>
  <c r="X82" i="2" s="1"/>
  <c r="X83" i="2" s="1"/>
  <c r="X84" i="2" s="1"/>
  <c r="X85" i="2" s="1"/>
  <c r="X86" i="2" s="1"/>
  <c r="X87" i="2" s="1"/>
  <c r="X88" i="2" s="1"/>
  <c r="X89" i="2" s="1"/>
  <c r="X90" i="2" s="1"/>
  <c r="X91" i="2" s="1"/>
  <c r="X92" i="2" s="1"/>
  <c r="X93" i="2" s="1"/>
  <c r="X94" i="2" s="1"/>
  <c r="X95" i="2" s="1"/>
  <c r="X96" i="2" s="1"/>
  <c r="X97" i="2" s="1"/>
  <c r="X98" i="2" s="1"/>
  <c r="X99" i="2" s="1"/>
  <c r="X100" i="2" s="1"/>
  <c r="X101" i="2" s="1"/>
  <c r="X102" i="2" s="1"/>
  <c r="X103" i="2" s="1"/>
  <c r="X104" i="2" s="1"/>
  <c r="X105" i="2" s="1"/>
  <c r="X106" i="2" s="1"/>
  <c r="X107" i="2" s="1"/>
  <c r="X108" i="2" s="1"/>
  <c r="X109" i="2" s="1"/>
  <c r="X110" i="2" s="1"/>
  <c r="X111" i="2" s="1"/>
  <c r="X112" i="2" s="1"/>
  <c r="X113" i="2" s="1"/>
  <c r="X114" i="2" s="1"/>
  <c r="X115" i="2" s="1"/>
  <c r="X116" i="2" s="1"/>
  <c r="X117" i="2" s="1"/>
  <c r="X118" i="2" s="1"/>
  <c r="X119" i="2" s="1"/>
  <c r="X120" i="2" s="1"/>
  <c r="X121" i="2" s="1"/>
  <c r="X122" i="2" s="1"/>
  <c r="X123" i="2" s="1"/>
  <c r="X124" i="2" s="1"/>
  <c r="X125" i="2" s="1"/>
  <c r="X126" i="2" s="1"/>
  <c r="X127" i="2" s="1"/>
  <c r="X128" i="2" s="1"/>
  <c r="X129" i="2" s="1"/>
  <c r="X130" i="2" s="1"/>
  <c r="X131" i="2" s="1"/>
  <c r="X132" i="2" s="1"/>
  <c r="X133" i="2" s="1"/>
  <c r="X134" i="2" s="1"/>
  <c r="X135" i="2" s="1"/>
  <c r="X136" i="2" s="1"/>
  <c r="X137" i="2" s="1"/>
  <c r="X138" i="2" s="1"/>
  <c r="X139" i="2" s="1"/>
  <c r="X140" i="2" s="1"/>
  <c r="X141" i="2" s="1"/>
  <c r="X142" i="2" s="1"/>
  <c r="X143" i="2" s="1"/>
  <c r="X144" i="2" s="1"/>
  <c r="X145" i="2" s="1"/>
  <c r="X146" i="2" s="1"/>
  <c r="X147" i="2" s="1"/>
  <c r="X148" i="2" s="1"/>
  <c r="X149" i="2" s="1"/>
  <c r="X150" i="2" s="1"/>
  <c r="X151" i="2" s="1"/>
  <c r="X152" i="2" s="1"/>
  <c r="X153" i="2" s="1"/>
  <c r="X154" i="2" s="1"/>
  <c r="X155" i="2" s="1"/>
  <c r="X156" i="2" s="1"/>
  <c r="X157" i="2" s="1"/>
  <c r="X158" i="2" s="1"/>
  <c r="X159" i="2" s="1"/>
  <c r="X160" i="2" s="1"/>
  <c r="X161" i="2" s="1"/>
  <c r="X162" i="2" s="1"/>
  <c r="X163" i="2" s="1"/>
  <c r="X164" i="2" s="1"/>
  <c r="X165" i="2" s="1"/>
  <c r="X166" i="2" s="1"/>
  <c r="X167" i="2" s="1"/>
  <c r="X168" i="2" s="1"/>
  <c r="X169" i="2" s="1"/>
  <c r="X170" i="2" s="1"/>
  <c r="X171" i="2" s="1"/>
  <c r="X172" i="2" s="1"/>
  <c r="X173" i="2" s="1"/>
  <c r="X174" i="2" s="1"/>
  <c r="X175" i="2" s="1"/>
  <c r="X176" i="2" s="1"/>
  <c r="X177" i="2" s="1"/>
  <c r="X178" i="2" s="1"/>
  <c r="X179" i="2" s="1"/>
  <c r="X180" i="2" s="1"/>
  <c r="X181" i="2" s="1"/>
  <c r="X182" i="2" s="1"/>
  <c r="X183" i="2" s="1"/>
  <c r="X184" i="2" s="1"/>
  <c r="X185" i="2" s="1"/>
  <c r="X186" i="2" s="1"/>
  <c r="X187" i="2" s="1"/>
  <c r="X188" i="2" s="1"/>
  <c r="X189" i="2" s="1"/>
  <c r="X190" i="2" s="1"/>
  <c r="X191" i="2" s="1"/>
  <c r="X192" i="2" s="1"/>
  <c r="X193" i="2" s="1"/>
  <c r="X194" i="2" s="1"/>
  <c r="X195" i="2" s="1"/>
  <c r="X196" i="2" s="1"/>
  <c r="X197" i="2" s="1"/>
  <c r="X198" i="2" s="1"/>
  <c r="X199" i="2" s="1"/>
  <c r="X200" i="2" s="1"/>
  <c r="X201" i="2" s="1"/>
  <c r="X202" i="2" s="1"/>
  <c r="X203" i="2" s="1"/>
  <c r="Y64" i="2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Y133" i="2" s="1"/>
  <c r="Y134" i="2" s="1"/>
  <c r="Y135" i="2" s="1"/>
  <c r="Y136" i="2" s="1"/>
  <c r="Y137" i="2" s="1"/>
  <c r="Y138" i="2" s="1"/>
  <c r="Y139" i="2" s="1"/>
  <c r="Y140" i="2" s="1"/>
  <c r="Y141" i="2" s="1"/>
  <c r="Y142" i="2" s="1"/>
  <c r="Y143" i="2" s="1"/>
  <c r="Y144" i="2" s="1"/>
  <c r="Y145" i="2" s="1"/>
  <c r="Y146" i="2" s="1"/>
  <c r="Y147" i="2" s="1"/>
  <c r="Y148" i="2" s="1"/>
  <c r="Y149" i="2" s="1"/>
  <c r="Y150" i="2" s="1"/>
  <c r="Y151" i="2" s="1"/>
  <c r="Y152" i="2" s="1"/>
  <c r="Y153" i="2" s="1"/>
  <c r="Y154" i="2" s="1"/>
  <c r="Y155" i="2" s="1"/>
  <c r="Y156" i="2" s="1"/>
  <c r="Y157" i="2" s="1"/>
  <c r="Y158" i="2" s="1"/>
  <c r="Y159" i="2" s="1"/>
  <c r="Y160" i="2" s="1"/>
  <c r="Y161" i="2" s="1"/>
  <c r="Y162" i="2" s="1"/>
  <c r="Y163" i="2" s="1"/>
  <c r="Y164" i="2" s="1"/>
  <c r="Y165" i="2" s="1"/>
  <c r="Y166" i="2" s="1"/>
  <c r="Y167" i="2" s="1"/>
  <c r="Y168" i="2" s="1"/>
  <c r="Y169" i="2" s="1"/>
  <c r="Y170" i="2" s="1"/>
  <c r="Y171" i="2" s="1"/>
  <c r="Y172" i="2" s="1"/>
  <c r="Y173" i="2" s="1"/>
  <c r="Y174" i="2" s="1"/>
  <c r="Y175" i="2" s="1"/>
  <c r="Y176" i="2" s="1"/>
  <c r="Y177" i="2" s="1"/>
  <c r="Y178" i="2" s="1"/>
  <c r="Y179" i="2" s="1"/>
  <c r="Y180" i="2" s="1"/>
  <c r="Y181" i="2" s="1"/>
  <c r="Y182" i="2" s="1"/>
  <c r="Y183" i="2" s="1"/>
  <c r="Y184" i="2" s="1"/>
  <c r="Y185" i="2" s="1"/>
  <c r="Y186" i="2" s="1"/>
  <c r="Y187" i="2" s="1"/>
  <c r="Y188" i="2" s="1"/>
  <c r="Y189" i="2" s="1"/>
  <c r="Y190" i="2" s="1"/>
  <c r="Y191" i="2" s="1"/>
  <c r="Y192" i="2" s="1"/>
  <c r="Y193" i="2" s="1"/>
  <c r="Y194" i="2" s="1"/>
  <c r="Y195" i="2" s="1"/>
  <c r="Y196" i="2" s="1"/>
  <c r="Y197" i="2" s="1"/>
  <c r="Y198" i="2" s="1"/>
  <c r="Y199" i="2" s="1"/>
  <c r="Y200" i="2" s="1"/>
  <c r="Y201" i="2" s="1"/>
  <c r="Y202" i="2" s="1"/>
  <c r="Y203" i="2" s="1"/>
  <c r="Z64" i="2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151" i="2" s="1"/>
  <c r="Z152" i="2" s="1"/>
  <c r="Z153" i="2" s="1"/>
  <c r="Z154" i="2" s="1"/>
  <c r="Z155" i="2" s="1"/>
  <c r="Z156" i="2" s="1"/>
  <c r="Z157" i="2" s="1"/>
  <c r="Z158" i="2" s="1"/>
  <c r="Z159" i="2" s="1"/>
  <c r="Z160" i="2" s="1"/>
  <c r="Z161" i="2" s="1"/>
  <c r="Z162" i="2" s="1"/>
  <c r="Z163" i="2" s="1"/>
  <c r="Z164" i="2" s="1"/>
  <c r="Z165" i="2" s="1"/>
  <c r="Z166" i="2" s="1"/>
  <c r="Z167" i="2" s="1"/>
  <c r="Z168" i="2" s="1"/>
  <c r="Z169" i="2" s="1"/>
  <c r="Z170" i="2" s="1"/>
  <c r="Z171" i="2" s="1"/>
  <c r="Z172" i="2" s="1"/>
  <c r="Z173" i="2" s="1"/>
  <c r="Z174" i="2" s="1"/>
  <c r="Z175" i="2" s="1"/>
  <c r="Z176" i="2" s="1"/>
  <c r="Z177" i="2" s="1"/>
  <c r="Z178" i="2" s="1"/>
  <c r="Z179" i="2" s="1"/>
  <c r="Z180" i="2" s="1"/>
  <c r="Z181" i="2" s="1"/>
  <c r="Z182" i="2" s="1"/>
  <c r="Z183" i="2" s="1"/>
  <c r="Z184" i="2" s="1"/>
  <c r="Z185" i="2" s="1"/>
  <c r="Z186" i="2" s="1"/>
  <c r="Z187" i="2" s="1"/>
  <c r="Z188" i="2" s="1"/>
  <c r="Z189" i="2" s="1"/>
  <c r="Z190" i="2" s="1"/>
  <c r="Z191" i="2" s="1"/>
  <c r="Z192" i="2" s="1"/>
  <c r="Z193" i="2" s="1"/>
  <c r="Z194" i="2" s="1"/>
  <c r="Z195" i="2" s="1"/>
  <c r="Z196" i="2" s="1"/>
  <c r="Z197" i="2" s="1"/>
  <c r="Z198" i="2" s="1"/>
  <c r="Z199" i="2" s="1"/>
  <c r="Z200" i="2" s="1"/>
  <c r="Z201" i="2" s="1"/>
  <c r="Z202" i="2" s="1"/>
  <c r="Z203" i="2" s="1"/>
  <c r="AA69" i="2"/>
  <c r="AA70" i="2" s="1"/>
  <c r="AA71" i="2" s="1"/>
  <c r="AA72" i="2" s="1"/>
  <c r="AA73" i="2" s="1"/>
  <c r="AA74" i="2" s="1"/>
  <c r="AA75" i="2" s="1"/>
  <c r="AA76" i="2" s="1"/>
  <c r="AA77" i="2" s="1"/>
  <c r="AA78" i="2" s="1"/>
  <c r="AA79" i="2" s="1"/>
  <c r="AA80" i="2" s="1"/>
  <c r="AA81" i="2" s="1"/>
  <c r="AA82" i="2" s="1"/>
  <c r="AA83" i="2" s="1"/>
  <c r="AA84" i="2" s="1"/>
  <c r="AA85" i="2" s="1"/>
  <c r="AA86" i="2" s="1"/>
  <c r="AA87" i="2" s="1"/>
  <c r="AA88" i="2" s="1"/>
  <c r="AA89" i="2" s="1"/>
  <c r="AA90" i="2" s="1"/>
  <c r="AA91" i="2" s="1"/>
  <c r="AA92" i="2" s="1"/>
  <c r="AA93" i="2" s="1"/>
  <c r="AA94" i="2" s="1"/>
  <c r="AA95" i="2" s="1"/>
  <c r="AA96" i="2" s="1"/>
  <c r="AA97" i="2" s="1"/>
  <c r="AA98" i="2" s="1"/>
  <c r="AA99" i="2" s="1"/>
  <c r="AA100" i="2" s="1"/>
  <c r="AA101" i="2" s="1"/>
  <c r="AA102" i="2" s="1"/>
  <c r="AA103" i="2" s="1"/>
  <c r="AA104" i="2" s="1"/>
  <c r="AA105" i="2" s="1"/>
  <c r="AA106" i="2" s="1"/>
  <c r="AA107" i="2" s="1"/>
  <c r="AA108" i="2" s="1"/>
  <c r="AA109" i="2" s="1"/>
  <c r="AA110" i="2" s="1"/>
  <c r="AA111" i="2" s="1"/>
  <c r="AA112" i="2" s="1"/>
  <c r="AA113" i="2" s="1"/>
  <c r="AA114" i="2" s="1"/>
  <c r="AA115" i="2" s="1"/>
  <c r="AA116" i="2" s="1"/>
  <c r="AA117" i="2" s="1"/>
  <c r="AA118" i="2" s="1"/>
  <c r="AA119" i="2" s="1"/>
  <c r="AA120" i="2" s="1"/>
  <c r="AA121" i="2" s="1"/>
  <c r="AA122" i="2" s="1"/>
  <c r="AA123" i="2" s="1"/>
  <c r="AA124" i="2" s="1"/>
  <c r="AA125" i="2" s="1"/>
  <c r="AA126" i="2" s="1"/>
  <c r="AA127" i="2" s="1"/>
  <c r="AA128" i="2" s="1"/>
  <c r="AA129" i="2" s="1"/>
  <c r="AA130" i="2" s="1"/>
  <c r="AA131" i="2" s="1"/>
  <c r="AA132" i="2" s="1"/>
  <c r="AA133" i="2" s="1"/>
  <c r="AA134" i="2" s="1"/>
  <c r="AA135" i="2" s="1"/>
  <c r="AA136" i="2" s="1"/>
  <c r="AA137" i="2" s="1"/>
  <c r="AA138" i="2" s="1"/>
  <c r="AA139" i="2" s="1"/>
  <c r="AA140" i="2" s="1"/>
  <c r="AA141" i="2" s="1"/>
  <c r="AA142" i="2" s="1"/>
  <c r="AA143" i="2" s="1"/>
  <c r="AA144" i="2" s="1"/>
  <c r="AA145" i="2" s="1"/>
  <c r="AA146" i="2" s="1"/>
  <c r="AA147" i="2" s="1"/>
  <c r="AA148" i="2" s="1"/>
  <c r="AA149" i="2" s="1"/>
  <c r="AA150" i="2" s="1"/>
  <c r="AA151" i="2" s="1"/>
  <c r="AA152" i="2" s="1"/>
  <c r="AA153" i="2" s="1"/>
  <c r="AA154" i="2" s="1"/>
  <c r="AA155" i="2" s="1"/>
  <c r="AA156" i="2" s="1"/>
  <c r="AA157" i="2" s="1"/>
  <c r="AA158" i="2" s="1"/>
  <c r="AA159" i="2" s="1"/>
  <c r="AA160" i="2" s="1"/>
  <c r="AA161" i="2" s="1"/>
  <c r="AA162" i="2" s="1"/>
  <c r="AA163" i="2" s="1"/>
  <c r="AA64" i="2"/>
  <c r="AA65" i="2" s="1"/>
  <c r="AA66" i="2" s="1"/>
  <c r="AA67" i="2" s="1"/>
  <c r="AA59" i="2"/>
  <c r="AA60" i="2" s="1"/>
  <c r="AA61" i="2" s="1"/>
  <c r="AA62" i="2" s="1"/>
  <c r="AA54" i="2"/>
  <c r="AA55" i="2" s="1"/>
  <c r="AA56" i="2" s="1"/>
  <c r="AA57" i="2" s="1"/>
  <c r="Z54" i="2"/>
  <c r="Z55" i="2" s="1"/>
  <c r="Z56" i="2" s="1"/>
  <c r="Z57" i="2" s="1"/>
  <c r="Z58" i="2" s="1"/>
  <c r="Z59" i="2" s="1"/>
  <c r="Z60" i="2" s="1"/>
  <c r="Z61" i="2" s="1"/>
  <c r="Z62" i="2" s="1"/>
  <c r="W54" i="2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W133" i="2" s="1"/>
  <c r="W134" i="2" s="1"/>
  <c r="W135" i="2" s="1"/>
  <c r="W136" i="2" s="1"/>
  <c r="W137" i="2" s="1"/>
  <c r="W138" i="2" s="1"/>
  <c r="W139" i="2" s="1"/>
  <c r="W140" i="2" s="1"/>
  <c r="W141" i="2" s="1"/>
  <c r="W142" i="2" s="1"/>
  <c r="W143" i="2" s="1"/>
  <c r="W144" i="2" s="1"/>
  <c r="W145" i="2" s="1"/>
  <c r="W146" i="2" s="1"/>
  <c r="W147" i="2" s="1"/>
  <c r="W148" i="2" s="1"/>
  <c r="W149" i="2" s="1"/>
  <c r="W150" i="2" s="1"/>
  <c r="W151" i="2" s="1"/>
  <c r="W152" i="2" s="1"/>
  <c r="W153" i="2" s="1"/>
  <c r="W154" i="2" s="1"/>
  <c r="W155" i="2" s="1"/>
  <c r="W156" i="2" s="1"/>
  <c r="W157" i="2" s="1"/>
  <c r="W158" i="2" s="1"/>
  <c r="W159" i="2" s="1"/>
  <c r="W160" i="2" s="1"/>
  <c r="W161" i="2" s="1"/>
  <c r="W162" i="2" s="1"/>
  <c r="W163" i="2" s="1"/>
  <c r="W164" i="2" s="1"/>
  <c r="W165" i="2" s="1"/>
  <c r="W166" i="2" s="1"/>
  <c r="W167" i="2" s="1"/>
  <c r="W168" i="2" s="1"/>
  <c r="W169" i="2" s="1"/>
  <c r="W170" i="2" s="1"/>
  <c r="W171" i="2" s="1"/>
  <c r="W172" i="2" s="1"/>
  <c r="W173" i="2" s="1"/>
  <c r="W174" i="2" s="1"/>
  <c r="W175" i="2" s="1"/>
  <c r="W176" i="2" s="1"/>
  <c r="W177" i="2" s="1"/>
  <c r="W178" i="2" s="1"/>
  <c r="W179" i="2" s="1"/>
  <c r="W180" i="2" s="1"/>
  <c r="W181" i="2" s="1"/>
  <c r="W182" i="2" s="1"/>
  <c r="W183" i="2" s="1"/>
  <c r="W184" i="2" s="1"/>
  <c r="W185" i="2" s="1"/>
  <c r="W186" i="2" s="1"/>
  <c r="W187" i="2" s="1"/>
  <c r="W188" i="2" s="1"/>
  <c r="W189" i="2" s="1"/>
  <c r="W190" i="2" s="1"/>
  <c r="W191" i="2" s="1"/>
  <c r="W192" i="2" s="1"/>
  <c r="W193" i="2" s="1"/>
  <c r="W194" i="2" s="1"/>
  <c r="W195" i="2" s="1"/>
  <c r="W196" i="2" s="1"/>
  <c r="W197" i="2" s="1"/>
  <c r="W198" i="2" s="1"/>
  <c r="W199" i="2" s="1"/>
  <c r="W200" i="2" s="1"/>
  <c r="W201" i="2" s="1"/>
  <c r="W202" i="2" s="1"/>
  <c r="X52" i="2"/>
  <c r="X53" i="2" s="1"/>
  <c r="X54" i="2" s="1"/>
  <c r="X55" i="2" s="1"/>
  <c r="X56" i="2" s="1"/>
  <c r="X57" i="2" s="1"/>
  <c r="X58" i="2" s="1"/>
  <c r="X59" i="2" s="1"/>
  <c r="X60" i="2" s="1"/>
  <c r="X61" i="2" s="1"/>
  <c r="X62" i="2" s="1"/>
  <c r="X63" i="2" s="1"/>
  <c r="X64" i="2" s="1"/>
  <c r="X65" i="2" s="1"/>
  <c r="X66" i="2" s="1"/>
  <c r="Y52" i="2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Z44" i="2"/>
  <c r="Z45" i="2" s="1"/>
  <c r="Z46" i="2" s="1"/>
  <c r="Z47" i="2" s="1"/>
  <c r="Z48" i="2" s="1"/>
  <c r="Z49" i="2" s="1"/>
  <c r="Z50" i="2" s="1"/>
  <c r="Z51" i="2" s="1"/>
  <c r="Z52" i="2" s="1"/>
  <c r="AA49" i="2"/>
  <c r="AA50" i="2" s="1"/>
  <c r="AA51" i="2" s="1"/>
  <c r="AA52" i="2" s="1"/>
  <c r="AA44" i="2"/>
  <c r="AA45" i="2" s="1"/>
  <c r="AA46" i="2" s="1"/>
  <c r="AA47" i="2" s="1"/>
  <c r="Y40" i="2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Z34" i="2"/>
  <c r="Z35" i="2" s="1"/>
  <c r="Z36" i="2" s="1"/>
  <c r="Z37" i="2" s="1"/>
  <c r="Z38" i="2" s="1"/>
  <c r="Z39" i="2" s="1"/>
  <c r="Z40" i="2" s="1"/>
  <c r="Z41" i="2" s="1"/>
  <c r="Z42" i="2" s="1"/>
  <c r="AA39" i="2"/>
  <c r="AA40" i="2" s="1"/>
  <c r="AA41" i="2" s="1"/>
  <c r="AA42" i="2" s="1"/>
  <c r="AA34" i="2"/>
  <c r="AA35" i="2" s="1"/>
  <c r="AA36" i="2" s="1"/>
  <c r="AA37" i="2" s="1"/>
  <c r="AA29" i="2"/>
  <c r="AA30" i="2" s="1"/>
  <c r="AA31" i="2" s="1"/>
  <c r="AA32" i="2" s="1"/>
  <c r="W29" i="2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X36" i="2"/>
  <c r="X37" i="2" s="1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X50" i="2" s="1"/>
  <c r="Y28" i="2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Z24" i="2"/>
  <c r="Z25" i="2" s="1"/>
  <c r="Z26" i="2" s="1"/>
  <c r="Z27" i="2" s="1"/>
  <c r="Z28" i="2" s="1"/>
  <c r="Z29" i="2" s="1"/>
  <c r="Z30" i="2" s="1"/>
  <c r="Z31" i="2" s="1"/>
  <c r="Z32" i="2" s="1"/>
  <c r="AA24" i="2"/>
  <c r="AA25" i="2" s="1"/>
  <c r="AA26" i="2" s="1"/>
  <c r="AA27" i="2" s="1"/>
  <c r="AA19" i="2"/>
  <c r="AA20" i="2" s="1"/>
  <c r="AA21" i="2" s="1"/>
  <c r="AA22" i="2" s="1"/>
  <c r="X20" i="2"/>
  <c r="X21" i="2" s="1"/>
  <c r="X22" i="2" s="1"/>
  <c r="X23" i="2" s="1"/>
  <c r="X24" i="2" s="1"/>
  <c r="X25" i="2" s="1"/>
  <c r="X26" i="2" s="1"/>
  <c r="X27" i="2" s="1"/>
  <c r="X28" i="2" s="1"/>
  <c r="X29" i="2" s="1"/>
  <c r="X30" i="2" s="1"/>
  <c r="X31" i="2" s="1"/>
  <c r="X32" i="2" s="1"/>
  <c r="X33" i="2" s="1"/>
  <c r="X34" i="2" s="1"/>
  <c r="Y16" i="2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Z14" i="2"/>
  <c r="Z15" i="2" s="1"/>
  <c r="Z16" i="2" s="1"/>
  <c r="Z17" i="2" s="1"/>
  <c r="Z18" i="2" s="1"/>
  <c r="Z19" i="2" s="1"/>
  <c r="Z20" i="2" s="1"/>
  <c r="Z21" i="2" s="1"/>
  <c r="Z22" i="2" s="1"/>
  <c r="AA14" i="2"/>
  <c r="AA15" i="2" s="1"/>
  <c r="AA16" i="2" s="1"/>
  <c r="AA17" i="2" s="1"/>
  <c r="AA9" i="2"/>
  <c r="AA10" i="2" s="1"/>
  <c r="AA11" i="2" s="1"/>
  <c r="AA12" i="2" s="1"/>
  <c r="W5" i="2"/>
  <c r="W6" i="2" s="1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X5" i="2"/>
  <c r="X6" i="2" s="1"/>
  <c r="X7" i="2" s="1"/>
  <c r="X8" i="2" s="1"/>
  <c r="X9" i="2" s="1"/>
  <c r="X10" i="2" s="1"/>
  <c r="X11" i="2" s="1"/>
  <c r="X12" i="2" s="1"/>
  <c r="X13" i="2" s="1"/>
  <c r="X14" i="2" s="1"/>
  <c r="X15" i="2" s="1"/>
  <c r="X16" i="2" s="1"/>
  <c r="X17" i="2" s="1"/>
  <c r="X18" i="2" s="1"/>
  <c r="Y5" i="2"/>
  <c r="Y6" i="2" s="1"/>
  <c r="Y7" i="2" s="1"/>
  <c r="Y8" i="2" s="1"/>
  <c r="Y9" i="2" s="1"/>
  <c r="Y10" i="2" s="1"/>
  <c r="Y11" i="2" s="1"/>
  <c r="Y12" i="2" s="1"/>
  <c r="Y13" i="2" s="1"/>
  <c r="Y14" i="2" s="1"/>
  <c r="Z5" i="2"/>
  <c r="Z6" i="2" s="1"/>
  <c r="Z7" i="2" s="1"/>
  <c r="Z8" i="2" s="1"/>
  <c r="Z9" i="2" s="1"/>
  <c r="Z10" i="2" s="1"/>
  <c r="Z11" i="2" s="1"/>
  <c r="Z12" i="2" s="1"/>
  <c r="AA5" i="2"/>
  <c r="AA6" i="2" s="1"/>
  <c r="AA7" i="2" s="1"/>
  <c r="B3" i="4"/>
  <c r="B2" i="4"/>
  <c r="C2" i="4" s="1"/>
  <c r="D2" i="4" s="1"/>
  <c r="C4" i="3"/>
  <c r="C3" i="3"/>
  <c r="C2" i="3"/>
  <c r="C6" i="3" l="1"/>
  <c r="E9" i="4"/>
  <c r="F9" i="4" s="1"/>
  <c r="H38" i="3" s="1"/>
  <c r="E27" i="5"/>
  <c r="E25" i="5"/>
  <c r="E23" i="5"/>
  <c r="E26" i="5"/>
  <c r="E24" i="5"/>
  <c r="E22" i="5"/>
  <c r="C6" i="4"/>
  <c r="D6" i="4" s="1"/>
  <c r="C7" i="4"/>
  <c r="D7" i="4" s="1"/>
  <c r="D4" i="4"/>
  <c r="E4" i="4" s="1"/>
  <c r="F4" i="4" s="1"/>
  <c r="C27" i="3" s="1"/>
  <c r="C5" i="4"/>
  <c r="D5" i="4" s="1"/>
  <c r="C3" i="4"/>
  <c r="D3" i="4" s="1"/>
  <c r="E2" i="4"/>
  <c r="F2" i="4" s="1"/>
  <c r="C55" i="3" s="1"/>
  <c r="C41" i="3" l="1"/>
  <c r="C40" i="3"/>
  <c r="B25" i="1"/>
  <c r="H39" i="3"/>
  <c r="H41" i="3" s="1"/>
  <c r="H42" i="3" s="1"/>
  <c r="B15" i="6"/>
  <c r="E5" i="4"/>
  <c r="F5" i="4" s="1"/>
  <c r="C31" i="3" s="1"/>
  <c r="E3" i="4"/>
  <c r="F3" i="4" s="1"/>
  <c r="C59" i="3" s="1"/>
  <c r="H45" i="3" l="1"/>
  <c r="C30" i="5" s="1"/>
  <c r="H43" i="3"/>
  <c r="C47" i="3"/>
  <c r="C10" i="5" s="1"/>
  <c r="C46" i="3"/>
  <c r="C9" i="5" s="1"/>
  <c r="C49" i="3"/>
  <c r="C12" i="5" s="1"/>
  <c r="C48" i="3"/>
  <c r="C11" i="5" s="1"/>
  <c r="C43" i="3" l="1"/>
  <c r="C52" i="3" s="1"/>
  <c r="C45" i="3"/>
  <c r="C53" i="3" s="1"/>
  <c r="C7" i="3"/>
  <c r="C5" i="3"/>
  <c r="C39" i="3"/>
  <c r="C50" i="3"/>
  <c r="C13" i="5" s="1"/>
  <c r="C51" i="3"/>
  <c r="C14" i="5" s="1"/>
  <c r="C44" i="3"/>
  <c r="C16" i="5" s="1"/>
  <c r="C38" i="3"/>
  <c r="C13" i="3" l="1"/>
  <c r="C12" i="3"/>
  <c r="H67" i="3"/>
  <c r="H69" i="3" s="1"/>
  <c r="H70" i="3" s="1"/>
  <c r="H71" i="3" s="1"/>
  <c r="C69" i="3"/>
  <c r="C68" i="3"/>
  <c r="B16" i="6"/>
  <c r="C60" i="3"/>
  <c r="C61" i="3" s="1"/>
  <c r="C62" i="3" s="1"/>
  <c r="D52" i="3" s="1"/>
  <c r="D5" i="5" s="1"/>
  <c r="D24" i="5" s="1"/>
  <c r="D60" i="3"/>
  <c r="D56" i="3"/>
  <c r="C56" i="3"/>
  <c r="C75" i="3"/>
  <c r="C67" i="3"/>
  <c r="C71" i="3"/>
  <c r="C80" i="3" s="1"/>
  <c r="C77" i="3"/>
  <c r="C72" i="3"/>
  <c r="C73" i="3"/>
  <c r="C81" i="3" s="1"/>
  <c r="C74" i="3"/>
  <c r="C79" i="3"/>
  <c r="C76" i="3"/>
  <c r="C66" i="3"/>
  <c r="C78" i="3"/>
  <c r="C5" i="5"/>
  <c r="C24" i="5" s="1"/>
  <c r="C15" i="5"/>
  <c r="C15" i="3"/>
  <c r="C24" i="3" s="1"/>
  <c r="C16" i="3"/>
  <c r="C20" i="3"/>
  <c r="C19" i="3"/>
  <c r="C21" i="3"/>
  <c r="C11" i="3"/>
  <c r="C32" i="3" s="1"/>
  <c r="C17" i="3"/>
  <c r="C25" i="3" s="1"/>
  <c r="C22" i="3"/>
  <c r="C18" i="3"/>
  <c r="C23" i="3"/>
  <c r="C10" i="3"/>
  <c r="C28" i="3" s="1"/>
  <c r="C6" i="5"/>
  <c r="C25" i="5" s="1"/>
  <c r="C17" i="5"/>
  <c r="C29" i="3" l="1"/>
  <c r="C30" i="3" s="1"/>
  <c r="D25" i="3" s="1"/>
  <c r="D4" i="5" s="1"/>
  <c r="D23" i="5" s="1"/>
  <c r="H73" i="3"/>
  <c r="C57" i="3"/>
  <c r="C58" i="3" s="1"/>
  <c r="D53" i="3" s="1"/>
  <c r="D6" i="5" s="1"/>
  <c r="D25" i="5" s="1"/>
  <c r="C4" i="5"/>
  <c r="C23" i="5" s="1"/>
  <c r="C3" i="5"/>
  <c r="C7" i="5"/>
  <c r="C26" i="5" s="1"/>
  <c r="C8" i="5"/>
  <c r="C27" i="5" s="1"/>
  <c r="E7" i="4"/>
  <c r="F7" i="4" s="1"/>
  <c r="C87" i="3" s="1"/>
  <c r="E6" i="4"/>
  <c r="F6" i="4" s="1"/>
  <c r="C83" i="3" s="1"/>
  <c r="C33" i="3"/>
  <c r="C34" i="3" s="1"/>
  <c r="D24" i="3" s="1"/>
  <c r="D3" i="5" s="1"/>
  <c r="D22" i="5" s="1"/>
  <c r="C22" i="5" l="1"/>
  <c r="D88" i="3"/>
  <c r="C88" i="3"/>
  <c r="D84" i="3"/>
  <c r="C84" i="3"/>
  <c r="C85" i="3" s="1"/>
  <c r="C89" i="3" l="1"/>
  <c r="C90" i="3" s="1"/>
  <c r="D80" i="3" s="1"/>
  <c r="D7" i="5" s="1"/>
  <c r="C86" i="3"/>
  <c r="D81" i="3" s="1"/>
  <c r="D8" i="5" s="1"/>
  <c r="C93" i="3"/>
  <c r="D26" i="5" l="1"/>
  <c r="D27" i="5"/>
  <c r="N127" i="2" l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H72" i="3" l="1"/>
  <c r="H44" i="3"/>
  <c r="D30" i="5" s="1"/>
</calcChain>
</file>

<file path=xl/sharedStrings.xml><?xml version="1.0" encoding="utf-8"?>
<sst xmlns="http://schemas.openxmlformats.org/spreadsheetml/2006/main" count="1562" uniqueCount="520">
  <si>
    <t>Day</t>
  </si>
  <si>
    <t>Hour</t>
  </si>
  <si>
    <t>Day/Night</t>
  </si>
  <si>
    <t>Temp (°F)</t>
  </si>
  <si>
    <t>Temp (°C)</t>
  </si>
  <si>
    <t>Precipitation</t>
  </si>
  <si>
    <t>Journey</t>
  </si>
  <si>
    <t>Encounter</t>
  </si>
  <si>
    <t>Distance</t>
  </si>
  <si>
    <t>Total Miles</t>
  </si>
  <si>
    <t>Selections</t>
  </si>
  <si>
    <t>Journey Start</t>
  </si>
  <si>
    <t>-</t>
  </si>
  <si>
    <t>Journey Length</t>
  </si>
  <si>
    <t>Group Size</t>
  </si>
  <si>
    <t>BMR (Slowest)</t>
  </si>
  <si>
    <t>Month</t>
  </si>
  <si>
    <t>Region</t>
  </si>
  <si>
    <t>Sub-Region (Climate)</t>
  </si>
  <si>
    <t>Terrain/Vegetation</t>
  </si>
  <si>
    <t>Path</t>
  </si>
  <si>
    <t>Pace</t>
  </si>
  <si>
    <t>Encounters</t>
  </si>
  <si>
    <t>Primary Location</t>
  </si>
  <si>
    <t>Typical Vegetation</t>
  </si>
  <si>
    <t>Typical Terrain</t>
  </si>
  <si>
    <t>Typical Water Source</t>
  </si>
  <si>
    <t>Special Features</t>
  </si>
  <si>
    <t>Sunrise</t>
  </si>
  <si>
    <t>Other Details</t>
  </si>
  <si>
    <t>Sunset</t>
  </si>
  <si>
    <t>Cloud Cover</t>
  </si>
  <si>
    <t>Precipitation Type</t>
  </si>
  <si>
    <t>Precipitaiton Start</t>
  </si>
  <si>
    <t>Precipitation Duration</t>
  </si>
  <si>
    <t>Precipitaiton End</t>
  </si>
  <si>
    <t>Inches of Precipitation</t>
  </si>
  <si>
    <t>Average Wind Speed</t>
  </si>
  <si>
    <t>Time Travelling</t>
  </si>
  <si>
    <t>Total Distance Travelled</t>
  </si>
  <si>
    <t>Noon</t>
  </si>
  <si>
    <t>1 January 1876</t>
  </si>
  <si>
    <t>2 January 1876</t>
  </si>
  <si>
    <t>3 January 1876</t>
  </si>
  <si>
    <t>4 January 1876</t>
  </si>
  <si>
    <t>5 January 1876</t>
  </si>
  <si>
    <t>6 January 1876</t>
  </si>
  <si>
    <t>7 January 1876</t>
  </si>
  <si>
    <t>8 January 1876</t>
  </si>
  <si>
    <t>9 January 1876</t>
  </si>
  <si>
    <t>10 January 1876</t>
  </si>
  <si>
    <t>11 January 1876</t>
  </si>
  <si>
    <t>12 January 1876</t>
  </si>
  <si>
    <t>13 January 1876</t>
  </si>
  <si>
    <t>14 January 1876</t>
  </si>
  <si>
    <t>15 January 1876</t>
  </si>
  <si>
    <t>16 January 1876</t>
  </si>
  <si>
    <t>17 January 1876</t>
  </si>
  <si>
    <t>18 January 1876</t>
  </si>
  <si>
    <t>19 January 1876</t>
  </si>
  <si>
    <t>20 January 1876</t>
  </si>
  <si>
    <t>21 January 1876</t>
  </si>
  <si>
    <t>22 January 1876</t>
  </si>
  <si>
    <t>23 January 1876</t>
  </si>
  <si>
    <t>24 January 1876</t>
  </si>
  <si>
    <t>25 January 1876</t>
  </si>
  <si>
    <t>26 January 1876</t>
  </si>
  <si>
    <t>27 January 1876</t>
  </si>
  <si>
    <t>28 January 1876</t>
  </si>
  <si>
    <t>29 January 1876</t>
  </si>
  <si>
    <t>30 January 1876</t>
  </si>
  <si>
    <t>31 January 1876</t>
  </si>
  <si>
    <t>1 February 1876</t>
  </si>
  <si>
    <t>2 February 1876</t>
  </si>
  <si>
    <t>3 February 1876</t>
  </si>
  <si>
    <t>4 February 1876</t>
  </si>
  <si>
    <t>5 February 1876</t>
  </si>
  <si>
    <t>6 February 1876</t>
  </si>
  <si>
    <t>7 February 1876</t>
  </si>
  <si>
    <t>8 February 1876</t>
  </si>
  <si>
    <t>9 February 1876</t>
  </si>
  <si>
    <t>10 February 1876</t>
  </si>
  <si>
    <t>11 February 1876</t>
  </si>
  <si>
    <t>12 February 1876</t>
  </si>
  <si>
    <t>13 February 1876</t>
  </si>
  <si>
    <t>14 February 1876</t>
  </si>
  <si>
    <t>15 February 1876</t>
  </si>
  <si>
    <t>16 February 1876</t>
  </si>
  <si>
    <t>17 February 1876</t>
  </si>
  <si>
    <t>18 February 1876</t>
  </si>
  <si>
    <t>19 February 1876</t>
  </si>
  <si>
    <t>20 February 1876</t>
  </si>
  <si>
    <t>21 February 1876</t>
  </si>
  <si>
    <t>22 February 1876</t>
  </si>
  <si>
    <t>23 February 1876</t>
  </si>
  <si>
    <t>24 February 1876</t>
  </si>
  <si>
    <t>25 February 1876</t>
  </si>
  <si>
    <t>26 February 1876</t>
  </si>
  <si>
    <t>27 February 1876</t>
  </si>
  <si>
    <t>28 February 1876</t>
  </si>
  <si>
    <t>29 February 1876</t>
  </si>
  <si>
    <t>1 March 1876</t>
  </si>
  <si>
    <t>2 March 1876</t>
  </si>
  <si>
    <t>3 March 1876</t>
  </si>
  <si>
    <t>4 March 1876</t>
  </si>
  <si>
    <t>5 March 1876</t>
  </si>
  <si>
    <t>6 March 1876</t>
  </si>
  <si>
    <t>7 March 1876</t>
  </si>
  <si>
    <t>8 March 1876</t>
  </si>
  <si>
    <t>9 March 1876</t>
  </si>
  <si>
    <t>10 March 1876</t>
  </si>
  <si>
    <t>11 March 1876</t>
  </si>
  <si>
    <t>12 March 1876</t>
  </si>
  <si>
    <t>13 March 1876</t>
  </si>
  <si>
    <t>14 March 1876</t>
  </si>
  <si>
    <t>15 March 1876</t>
  </si>
  <si>
    <t>16 March 1876</t>
  </si>
  <si>
    <t>17 March 1876</t>
  </si>
  <si>
    <t>18 March 1876</t>
  </si>
  <si>
    <t>19 March 1876</t>
  </si>
  <si>
    <t>20 March 1876</t>
  </si>
  <si>
    <t>21 March 1876</t>
  </si>
  <si>
    <t>22 March 1876</t>
  </si>
  <si>
    <t>23 March 1876</t>
  </si>
  <si>
    <t>24 March 1876</t>
  </si>
  <si>
    <t>25 March 1876</t>
  </si>
  <si>
    <t>26 March 1876</t>
  </si>
  <si>
    <t>27 March 1876</t>
  </si>
  <si>
    <t>28 March 1876</t>
  </si>
  <si>
    <t>29 March 1876</t>
  </si>
  <si>
    <t>30 March 1876</t>
  </si>
  <si>
    <t>31 March 1876</t>
  </si>
  <si>
    <t>1 April 1876</t>
  </si>
  <si>
    <t>2 April 1876</t>
  </si>
  <si>
    <t>3 April 1876</t>
  </si>
  <si>
    <t>4 April 1876</t>
  </si>
  <si>
    <t>5 April 1876</t>
  </si>
  <si>
    <t>6 April 1876</t>
  </si>
  <si>
    <t>7 April 1876</t>
  </si>
  <si>
    <t>8 April 1876</t>
  </si>
  <si>
    <t>9 April 1876</t>
  </si>
  <si>
    <t>10 April 1876</t>
  </si>
  <si>
    <t>11 April 1876</t>
  </si>
  <si>
    <t>12 April 1876</t>
  </si>
  <si>
    <t>13 April 1876</t>
  </si>
  <si>
    <t>14 April 1876</t>
  </si>
  <si>
    <t>15 April 1876</t>
  </si>
  <si>
    <t>16 April 1876</t>
  </si>
  <si>
    <t>17 April 1876</t>
  </si>
  <si>
    <t>18 April 1876</t>
  </si>
  <si>
    <t>19 April 1876</t>
  </si>
  <si>
    <t>20 April 1876</t>
  </si>
  <si>
    <t>21 April 1876</t>
  </si>
  <si>
    <t>22 April 1876</t>
  </si>
  <si>
    <t>23 April 1876</t>
  </si>
  <si>
    <t>24 April 1876</t>
  </si>
  <si>
    <t>25 April 1876</t>
  </si>
  <si>
    <t>26 April 1876</t>
  </si>
  <si>
    <t>27 April 1876</t>
  </si>
  <si>
    <t>28 April 1876</t>
  </si>
  <si>
    <t>29 April 1876</t>
  </si>
  <si>
    <t>30 April 1876</t>
  </si>
  <si>
    <t>1 May 1876</t>
  </si>
  <si>
    <t>2 May 1876</t>
  </si>
  <si>
    <t>3 May 1876</t>
  </si>
  <si>
    <t>4 May 1876</t>
  </si>
  <si>
    <t>5 May 1876</t>
  </si>
  <si>
    <t>6 May 1876</t>
  </si>
  <si>
    <t>7 May 1876</t>
  </si>
  <si>
    <t>8 May 1876</t>
  </si>
  <si>
    <t>9 May 1876</t>
  </si>
  <si>
    <t>10 May 1876</t>
  </si>
  <si>
    <t>11 May 1876</t>
  </si>
  <si>
    <t>12 May 1876</t>
  </si>
  <si>
    <t>13 May 1876</t>
  </si>
  <si>
    <t>14 May 1876</t>
  </si>
  <si>
    <t>15 May 1876</t>
  </si>
  <si>
    <t>16 May 1876</t>
  </si>
  <si>
    <t>17 May 1876</t>
  </si>
  <si>
    <t>18 May 1876</t>
  </si>
  <si>
    <t>19 May 1876</t>
  </si>
  <si>
    <t>20 May 1876</t>
  </si>
  <si>
    <t>21 May 1876</t>
  </si>
  <si>
    <t>22 May 1876</t>
  </si>
  <si>
    <t>23 May 1876</t>
  </si>
  <si>
    <t>24 May 1876</t>
  </si>
  <si>
    <t>25 May 1876</t>
  </si>
  <si>
    <t>26 May 1876</t>
  </si>
  <si>
    <t>27 May 1876</t>
  </si>
  <si>
    <t>28 May 1876</t>
  </si>
  <si>
    <t>29 May 1876</t>
  </si>
  <si>
    <t>30 May 1876</t>
  </si>
  <si>
    <t>31 May 1876</t>
  </si>
  <si>
    <t>1 June 1876</t>
  </si>
  <si>
    <t>2 June 1876</t>
  </si>
  <si>
    <t>3 June 1876</t>
  </si>
  <si>
    <t>4 June 1876</t>
  </si>
  <si>
    <t>5 June 1876</t>
  </si>
  <si>
    <t>6 June 1876</t>
  </si>
  <si>
    <t>7 June 1876</t>
  </si>
  <si>
    <t>8 June 1876</t>
  </si>
  <si>
    <t>9 June 1876</t>
  </si>
  <si>
    <t>10 June 1876</t>
  </si>
  <si>
    <t>11 June 1876</t>
  </si>
  <si>
    <t>12 June 1876</t>
  </si>
  <si>
    <t>13 June 1876</t>
  </si>
  <si>
    <t>14 June 1876</t>
  </si>
  <si>
    <t>15 June 1876</t>
  </si>
  <si>
    <t>16 June 1876</t>
  </si>
  <si>
    <t>17 June 1876</t>
  </si>
  <si>
    <t>18 June 1876</t>
  </si>
  <si>
    <t>19 June 1876</t>
  </si>
  <si>
    <t>20 June 1876</t>
  </si>
  <si>
    <t>21 June 1876</t>
  </si>
  <si>
    <t>22 June 1876</t>
  </si>
  <si>
    <t>23 June 1876</t>
  </si>
  <si>
    <t>24 June 1876</t>
  </si>
  <si>
    <t>25 June 1876</t>
  </si>
  <si>
    <t>26 June 1876</t>
  </si>
  <si>
    <t>27 June 1876</t>
  </si>
  <si>
    <t>28 June 1876</t>
  </si>
  <si>
    <t>29 June 1876</t>
  </si>
  <si>
    <t>30 June 1876</t>
  </si>
  <si>
    <t>1 July 1876</t>
  </si>
  <si>
    <t>2 July 1876</t>
  </si>
  <si>
    <t>3 July 1876</t>
  </si>
  <si>
    <t>4 July 1876</t>
  </si>
  <si>
    <t>5 July 1876</t>
  </si>
  <si>
    <t>6 July 1876</t>
  </si>
  <si>
    <t>7 July 1876</t>
  </si>
  <si>
    <t>8 July 1876</t>
  </si>
  <si>
    <t>9 July 1876</t>
  </si>
  <si>
    <t>10 July 1876</t>
  </si>
  <si>
    <t>11 July 1876</t>
  </si>
  <si>
    <t>12 July 1876</t>
  </si>
  <si>
    <t>13 July 1876</t>
  </si>
  <si>
    <t>14 July 1876</t>
  </si>
  <si>
    <t>15 July 1876</t>
  </si>
  <si>
    <t>16 July 1876</t>
  </si>
  <si>
    <t>17 July 1876</t>
  </si>
  <si>
    <t>18 July 1876</t>
  </si>
  <si>
    <t>19 July 1876</t>
  </si>
  <si>
    <t>20 July 1876</t>
  </si>
  <si>
    <t>21 July 1876</t>
  </si>
  <si>
    <t>22 July 1876</t>
  </si>
  <si>
    <t>23 July 1876</t>
  </si>
  <si>
    <t>24 July 1876</t>
  </si>
  <si>
    <t>25 July 1876</t>
  </si>
  <si>
    <t>26 July 1876</t>
  </si>
  <si>
    <t>27 July 1876</t>
  </si>
  <si>
    <t>28 July 1876</t>
  </si>
  <si>
    <t>29 July 1876</t>
  </si>
  <si>
    <t>30 July 1876</t>
  </si>
  <si>
    <t>31 July 1876</t>
  </si>
  <si>
    <t>1 August 1876</t>
  </si>
  <si>
    <t>2 August 1876</t>
  </si>
  <si>
    <t>3 August 1876</t>
  </si>
  <si>
    <t>4 August 1876</t>
  </si>
  <si>
    <t>5 August 1876</t>
  </si>
  <si>
    <t>6 August 1876</t>
  </si>
  <si>
    <t>7 August 1876</t>
  </si>
  <si>
    <t>8 August 1876</t>
  </si>
  <si>
    <t>9 August 1876</t>
  </si>
  <si>
    <t>10 August 1876</t>
  </si>
  <si>
    <t>11 August 1876</t>
  </si>
  <si>
    <t>12 August 1876</t>
  </si>
  <si>
    <t>13 August 1876</t>
  </si>
  <si>
    <t>14 August 1876</t>
  </si>
  <si>
    <t>15 August 1876</t>
  </si>
  <si>
    <t>16 August 1876</t>
  </si>
  <si>
    <t>17 August 1876</t>
  </si>
  <si>
    <t>18 August 1876</t>
  </si>
  <si>
    <t>19 August 1876</t>
  </si>
  <si>
    <t>20 August 1876</t>
  </si>
  <si>
    <t>21 August 1876</t>
  </si>
  <si>
    <t>22 August 1876</t>
  </si>
  <si>
    <t>23 August 1876</t>
  </si>
  <si>
    <t>24 August 1876</t>
  </si>
  <si>
    <t>25 August 1876</t>
  </si>
  <si>
    <t>26 August 1876</t>
  </si>
  <si>
    <t>27 August 1876</t>
  </si>
  <si>
    <t>28 August 1876</t>
  </si>
  <si>
    <t>29 August 1876</t>
  </si>
  <si>
    <t>30 August 1876</t>
  </si>
  <si>
    <t>31 August 1876</t>
  </si>
  <si>
    <t>1 September 1876</t>
  </si>
  <si>
    <t>2 September 1876</t>
  </si>
  <si>
    <t>3 September 1876</t>
  </si>
  <si>
    <t>4 September 1876</t>
  </si>
  <si>
    <t>5 September 1876</t>
  </si>
  <si>
    <t>6 September 1876</t>
  </si>
  <si>
    <t>7 September 1876</t>
  </si>
  <si>
    <t>8 September 1876</t>
  </si>
  <si>
    <t>9 September 1876</t>
  </si>
  <si>
    <t>10 September 1876</t>
  </si>
  <si>
    <t>11 September 1876</t>
  </si>
  <si>
    <t>12 September 1876</t>
  </si>
  <si>
    <t>13 September 1876</t>
  </si>
  <si>
    <t>14 September 1876</t>
  </si>
  <si>
    <t>15 September 1876</t>
  </si>
  <si>
    <t>16 September 1876</t>
  </si>
  <si>
    <t>17 September 1876</t>
  </si>
  <si>
    <t>18 September 1876</t>
  </si>
  <si>
    <t>19 September 1876</t>
  </si>
  <si>
    <t>20 September 1876</t>
  </si>
  <si>
    <t>21 September 1876</t>
  </si>
  <si>
    <t>22 September 1876</t>
  </si>
  <si>
    <t>23 September 1876</t>
  </si>
  <si>
    <t>24 September 1876</t>
  </si>
  <si>
    <t>25 September 1876</t>
  </si>
  <si>
    <t>26 September 1876</t>
  </si>
  <si>
    <t>27 September 1876</t>
  </si>
  <si>
    <t>28 September 1876</t>
  </si>
  <si>
    <t>29 September 1876</t>
  </si>
  <si>
    <t>30 September 1876</t>
  </si>
  <si>
    <t>1 October 1876</t>
  </si>
  <si>
    <t>2 October 1876</t>
  </si>
  <si>
    <t>3 October 1876</t>
  </si>
  <si>
    <t>4 October 1876</t>
  </si>
  <si>
    <t>5 October 1876</t>
  </si>
  <si>
    <t>6 October 1876</t>
  </si>
  <si>
    <t>7 October 1876</t>
  </si>
  <si>
    <t>8 October 1876</t>
  </si>
  <si>
    <t>9 October 1876</t>
  </si>
  <si>
    <t>10 October 1876</t>
  </si>
  <si>
    <t>11 October 1876</t>
  </si>
  <si>
    <t>12 October 1876</t>
  </si>
  <si>
    <t>13 October 1876</t>
  </si>
  <si>
    <t>14 October 1876</t>
  </si>
  <si>
    <t>15 October 1876</t>
  </si>
  <si>
    <t>16 October 1876</t>
  </si>
  <si>
    <t>17 October 1876</t>
  </si>
  <si>
    <t>18 October 1876</t>
  </si>
  <si>
    <t>19 October 1876</t>
  </si>
  <si>
    <t>20 October 1876</t>
  </si>
  <si>
    <t>21 October 1876</t>
  </si>
  <si>
    <t>22 October 1876</t>
  </si>
  <si>
    <t>23 October 1876</t>
  </si>
  <si>
    <t>24 October 1876</t>
  </si>
  <si>
    <t>25 October 1876</t>
  </si>
  <si>
    <t>26 October 1876</t>
  </si>
  <si>
    <t>27 October 1876</t>
  </si>
  <si>
    <t>28 October 1876</t>
  </si>
  <si>
    <t>29 October 1876</t>
  </si>
  <si>
    <t>30 October 1876</t>
  </si>
  <si>
    <t>31 October 1876</t>
  </si>
  <si>
    <t>1 November 1876</t>
  </si>
  <si>
    <t>2 November 1876</t>
  </si>
  <si>
    <t>3 November 1876</t>
  </si>
  <si>
    <t>4 November 1876</t>
  </si>
  <si>
    <t>5 November 1876</t>
  </si>
  <si>
    <t>6 November 1876</t>
  </si>
  <si>
    <t>7 November 1876</t>
  </si>
  <si>
    <t>8 November 1876</t>
  </si>
  <si>
    <t>9 November 1876</t>
  </si>
  <si>
    <t>10 November 1876</t>
  </si>
  <si>
    <t>11 November 1876</t>
  </si>
  <si>
    <t>12 November 1876</t>
  </si>
  <si>
    <t>13 November 1876</t>
  </si>
  <si>
    <t>14 November 1876</t>
  </si>
  <si>
    <t>15 November 1876</t>
  </si>
  <si>
    <t>16 November 1876</t>
  </si>
  <si>
    <t>17 November 1876</t>
  </si>
  <si>
    <t>18 November 1876</t>
  </si>
  <si>
    <t>19 November 1876</t>
  </si>
  <si>
    <t>20 November 1876</t>
  </si>
  <si>
    <t>21 November 1876</t>
  </si>
  <si>
    <t>22 November 1876</t>
  </si>
  <si>
    <t>23 November 1876</t>
  </si>
  <si>
    <t>24 November 1876</t>
  </si>
  <si>
    <t>25 November 1876</t>
  </si>
  <si>
    <t>26 November 1876</t>
  </si>
  <si>
    <t>27 November 1876</t>
  </si>
  <si>
    <t>28 November 1876</t>
  </si>
  <si>
    <t>29 November 1876</t>
  </si>
  <si>
    <t>30 November 1876</t>
  </si>
  <si>
    <t>1 December 1876</t>
  </si>
  <si>
    <t>2 December 1876</t>
  </si>
  <si>
    <t>3 December 1876</t>
  </si>
  <si>
    <t>4 December 1876</t>
  </si>
  <si>
    <t>5 December 1876</t>
  </si>
  <si>
    <t>6 December 1876</t>
  </si>
  <si>
    <t>7 December 1876</t>
  </si>
  <si>
    <t>8 December 1876</t>
  </si>
  <si>
    <t>9 December 1876</t>
  </si>
  <si>
    <t>10 December 1876</t>
  </si>
  <si>
    <t>11 December 1876</t>
  </si>
  <si>
    <t>12 December 1876</t>
  </si>
  <si>
    <t>13 December 1876</t>
  </si>
  <si>
    <t>14 December 1876</t>
  </si>
  <si>
    <t>15 December 1876</t>
  </si>
  <si>
    <t>16 December 1876</t>
  </si>
  <si>
    <t>17 December 1876</t>
  </si>
  <si>
    <t>18 December 1876</t>
  </si>
  <si>
    <t>19 December 1876</t>
  </si>
  <si>
    <t>20 December 1876</t>
  </si>
  <si>
    <t>21 December 1876</t>
  </si>
  <si>
    <t>22 December 1876</t>
  </si>
  <si>
    <t>23 December 1876</t>
  </si>
  <si>
    <t>24 December 1876</t>
  </si>
  <si>
    <t>25 December 1876</t>
  </si>
  <si>
    <t>26 December 1876</t>
  </si>
  <si>
    <t>27 December 1876</t>
  </si>
  <si>
    <t>28 December 1876</t>
  </si>
  <si>
    <t>29 December 1876</t>
  </si>
  <si>
    <t>30 December 1876</t>
  </si>
  <si>
    <t>31 December 1876</t>
  </si>
  <si>
    <t>Custer</t>
  </si>
  <si>
    <t>Astronomical Twilight</t>
  </si>
  <si>
    <t>Start</t>
  </si>
  <si>
    <t>End</t>
  </si>
  <si>
    <t>Nautical Twilight</t>
  </si>
  <si>
    <t>Civil Twilight</t>
  </si>
  <si>
    <t>Time</t>
  </si>
  <si>
    <t>Year</t>
  </si>
  <si>
    <t>Astronomical Twilight Start</t>
  </si>
  <si>
    <t>Astronomical Twilight End</t>
  </si>
  <si>
    <t>Nautical Twilight Start</t>
  </si>
  <si>
    <t>Nautical Twilight End</t>
  </si>
  <si>
    <t>Civil Twilight Start</t>
  </si>
  <si>
    <t>Civil Twilight End</t>
  </si>
  <si>
    <t>Solar Chart</t>
  </si>
  <si>
    <t>Temperature</t>
  </si>
  <si>
    <t>Average</t>
  </si>
  <si>
    <t>Low</t>
  </si>
  <si>
    <t>High</t>
  </si>
  <si>
    <t>Mean</t>
  </si>
  <si>
    <t>Weather</t>
  </si>
  <si>
    <t>Dew Point</t>
  </si>
  <si>
    <t>Wind</t>
  </si>
  <si>
    <t>Visibility</t>
  </si>
  <si>
    <t>III</t>
  </si>
  <si>
    <t>Class</t>
  </si>
  <si>
    <t>II</t>
  </si>
  <si>
    <t>I</t>
  </si>
  <si>
    <t>IV</t>
  </si>
  <si>
    <t>V</t>
  </si>
  <si>
    <t>Temperature Low (time)</t>
  </si>
  <si>
    <t>Temperature High (time)</t>
  </si>
  <si>
    <t>Temp High</t>
  </si>
  <si>
    <t>Temp Low</t>
  </si>
  <si>
    <t>Temperature High (OE Roll)</t>
  </si>
  <si>
    <t>Temperature Low (OE Roll)</t>
  </si>
  <si>
    <t>Temperature Class (high)</t>
  </si>
  <si>
    <t>Temperature Class (low)</t>
  </si>
  <si>
    <t>Temperature High (Mod)</t>
  </si>
  <si>
    <t>Temperature Low (Mod)</t>
  </si>
  <si>
    <t>Temperature Average High</t>
  </si>
  <si>
    <t>Temperature High (F)</t>
  </si>
  <si>
    <t>Temperature Low (F)</t>
  </si>
  <si>
    <t>Temperature High (C)</t>
  </si>
  <si>
    <t>Temperature Low (C)</t>
  </si>
  <si>
    <t>Current Day</t>
  </si>
  <si>
    <t>Previous Day</t>
  </si>
  <si>
    <t>Next Day</t>
  </si>
  <si>
    <t>Previous Temp High</t>
  </si>
  <si>
    <t>Previous Temp Low</t>
  </si>
  <si>
    <t>Next Temp High</t>
  </si>
  <si>
    <t>Next Temp Low</t>
  </si>
  <si>
    <t>Previous Day Low</t>
  </si>
  <si>
    <t>Previous Day High</t>
  </si>
  <si>
    <t>Current Day Low</t>
  </si>
  <si>
    <t>Current Day High</t>
  </si>
  <si>
    <t>Next Day Low</t>
  </si>
  <si>
    <t>Next Day High</t>
  </si>
  <si>
    <t>Astro. Dawn</t>
  </si>
  <si>
    <t>Astro. Dusk</t>
  </si>
  <si>
    <t>Naut. Dawn</t>
  </si>
  <si>
    <t>Naut. Dusk</t>
  </si>
  <si>
    <t>Civil Dawn</t>
  </si>
  <si>
    <t>Civil Dusk</t>
  </si>
  <si>
    <t>June</t>
  </si>
  <si>
    <t>Temp</t>
  </si>
  <si>
    <t>Current Date</t>
  </si>
  <si>
    <t>Next Date</t>
  </si>
  <si>
    <t>New Current Date</t>
  </si>
  <si>
    <t>Next Day Low Temperature Modifier</t>
  </si>
  <si>
    <t>Next Day High Temperature Modifier</t>
  </si>
  <si>
    <t>Date</t>
  </si>
  <si>
    <t>Modifier</t>
  </si>
  <si>
    <t>Extremes</t>
  </si>
  <si>
    <t>Next Day Extreme Weather</t>
  </si>
  <si>
    <t>Rough/Hills</t>
  </si>
  <si>
    <t>Forests</t>
  </si>
  <si>
    <t>Jungle</t>
  </si>
  <si>
    <t>Swamp/Marsh</t>
  </si>
  <si>
    <t>Plains</t>
  </si>
  <si>
    <t>Desert</t>
  </si>
  <si>
    <t>Mountains</t>
  </si>
  <si>
    <t>Coastal</t>
  </si>
  <si>
    <t>Sea</t>
  </si>
  <si>
    <t>Effective Temperature</t>
  </si>
  <si>
    <t>Actual Temperature</t>
  </si>
  <si>
    <t>Precipitation Chance</t>
  </si>
  <si>
    <t>Next Day Precipitation Chance</t>
  </si>
  <si>
    <t>Precipitation Chance (OE Roll)</t>
  </si>
  <si>
    <t>Precipitation Modifier</t>
  </si>
  <si>
    <t>Prec.</t>
  </si>
  <si>
    <t>Total</t>
  </si>
  <si>
    <t>Blizzard, Heavy</t>
  </si>
  <si>
    <t>Blizzard, Light</t>
  </si>
  <si>
    <t>Special Weather</t>
  </si>
  <si>
    <t>Precipitation Start Time</t>
  </si>
  <si>
    <t>Type</t>
  </si>
  <si>
    <t>Snowstorm, Light</t>
  </si>
  <si>
    <t>Sleetstorm</t>
  </si>
  <si>
    <t>Hailstorm</t>
  </si>
  <si>
    <t>Rainstorm, Light</t>
  </si>
  <si>
    <t>Fog, Heavy</t>
  </si>
  <si>
    <t>Chance</t>
  </si>
  <si>
    <t>Snowstorm, Heavy</t>
  </si>
  <si>
    <t>Fog, Light</t>
  </si>
  <si>
    <t>Drizzle</t>
  </si>
  <si>
    <t>Rainstorm, Heavy</t>
  </si>
  <si>
    <t>Thunderstorm</t>
  </si>
  <si>
    <t>Tropical Storm</t>
  </si>
  <si>
    <t>Monsoon</t>
  </si>
  <si>
    <t>Gale</t>
  </si>
  <si>
    <t>Hurricane</t>
  </si>
  <si>
    <t>Temperature Average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</si>
</sst>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809]h&quot;:&quot;mm&quot;:&quot;ss&quot; &quot;AM/PM"/>
    <numFmt numFmtId="165" formatCode="hh&quot;:&quot;mm&quot;:&quot;ss;@"/>
    <numFmt numFmtId="166" formatCode="[$-F400]h:mm:ss\ AM/PM"/>
    <numFmt numFmtId="167" formatCode="0.000"/>
    <numFmt numFmtId="168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A9D08E"/>
        <bgColor rgb="FFA9D08E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  <fill>
      <patternFill patternType="solid">
        <fgColor rgb="FFBDD7EE"/>
        <bgColor rgb="FFBDD7EE"/>
      </patternFill>
    </fill>
    <fill>
      <patternFill patternType="solid">
        <fgColor rgb="FF9BC2E6"/>
        <bgColor rgb="FF9BC2E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rgb="FFFFFFFF"/>
      </right>
      <top style="thin">
        <color rgb="FF548235"/>
      </top>
      <bottom/>
      <diagonal/>
    </border>
    <border>
      <left/>
      <right style="thin">
        <color rgb="FFFFFFFF"/>
      </right>
      <top style="thin">
        <color rgb="FF548235"/>
      </top>
      <bottom/>
      <diagonal/>
    </border>
    <border>
      <left style="thin">
        <color rgb="FFFFFFFF"/>
      </left>
      <right style="thin">
        <color rgb="FFFFFFFF"/>
      </right>
      <top style="thin">
        <color rgb="FF548235"/>
      </top>
      <bottom/>
      <diagonal/>
    </border>
    <border>
      <left style="thin">
        <color rgb="FFFFFFFF"/>
      </left>
      <right style="thin">
        <color rgb="FF548235"/>
      </right>
      <top style="thin">
        <color rgb="FF548235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1F4E78"/>
      </left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1F4E78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64" fontId="3" fillId="2" borderId="3" xfId="0" applyNumberFormat="1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center"/>
    </xf>
    <xf numFmtId="0" fontId="3" fillId="0" borderId="0" xfId="0" applyFont="1"/>
    <xf numFmtId="0" fontId="3" fillId="4" borderId="7" xfId="0" applyFont="1" applyFill="1" applyBorder="1" applyAlignment="1">
      <alignment horizontal="right"/>
    </xf>
    <xf numFmtId="0" fontId="3" fillId="4" borderId="8" xfId="0" applyFont="1" applyFill="1" applyBorder="1" applyAlignment="1">
      <alignment horizontal="center"/>
    </xf>
    <xf numFmtId="165" fontId="3" fillId="5" borderId="9" xfId="0" applyNumberFormat="1" applyFont="1" applyFill="1" applyBorder="1" applyAlignment="1">
      <alignment horizontal="left"/>
    </xf>
    <xf numFmtId="0" fontId="3" fillId="3" borderId="12" xfId="0" applyFont="1" applyFill="1" applyBorder="1" applyAlignment="1">
      <alignment horizontal="right"/>
    </xf>
    <xf numFmtId="0" fontId="3" fillId="3" borderId="0" xfId="0" applyFont="1" applyFill="1" applyAlignment="1">
      <alignment horizontal="center"/>
    </xf>
    <xf numFmtId="0" fontId="3" fillId="6" borderId="9" xfId="0" applyFont="1" applyFill="1" applyBorder="1" applyAlignment="1">
      <alignment horizontal="left"/>
    </xf>
    <xf numFmtId="0" fontId="3" fillId="4" borderId="12" xfId="0" applyFont="1" applyFill="1" applyBorder="1" applyAlignment="1">
      <alignment horizontal="right"/>
    </xf>
    <xf numFmtId="0" fontId="3" fillId="4" borderId="0" xfId="0" applyFont="1" applyFill="1" applyAlignment="1">
      <alignment horizontal="center"/>
    </xf>
    <xf numFmtId="0" fontId="3" fillId="4" borderId="13" xfId="0" applyFont="1" applyFill="1" applyBorder="1" applyAlignment="1">
      <alignment horizontal="left"/>
    </xf>
    <xf numFmtId="0" fontId="3" fillId="3" borderId="13" xfId="0" applyFont="1" applyFill="1" applyBorder="1" applyAlignment="1">
      <alignment horizontal="left"/>
    </xf>
    <xf numFmtId="0" fontId="3" fillId="3" borderId="14" xfId="0" applyFont="1" applyFill="1" applyBorder="1" applyAlignment="1">
      <alignment horizontal="right"/>
    </xf>
    <xf numFmtId="0" fontId="3" fillId="3" borderId="15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165" fontId="3" fillId="4" borderId="13" xfId="0" applyNumberFormat="1" applyFont="1" applyFill="1" applyBorder="1" applyAlignment="1">
      <alignment horizontal="left"/>
    </xf>
    <xf numFmtId="2" fontId="3" fillId="3" borderId="13" xfId="0" applyNumberFormat="1" applyFont="1" applyFill="1" applyBorder="1" applyAlignment="1">
      <alignment horizontal="left"/>
    </xf>
    <xf numFmtId="0" fontId="3" fillId="4" borderId="14" xfId="0" applyFont="1" applyFill="1" applyBorder="1" applyAlignment="1">
      <alignment horizontal="right"/>
    </xf>
    <xf numFmtId="0" fontId="3" fillId="4" borderId="16" xfId="0" applyFont="1" applyFill="1" applyBorder="1" applyAlignment="1">
      <alignment horizontal="center"/>
    </xf>
    <xf numFmtId="2" fontId="3" fillId="4" borderId="18" xfId="0" applyNumberFormat="1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 wrapText="1"/>
    </xf>
    <xf numFmtId="20" fontId="0" fillId="0" borderId="0" xfId="0" applyNumberFormat="1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0" fontId="3" fillId="5" borderId="9" xfId="0" applyNumberFormat="1" applyFont="1" applyFill="1" applyBorder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2" fillId="0" borderId="0" xfId="0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7" borderId="10" xfId="0" applyFill="1" applyBorder="1" applyAlignment="1">
      <alignment horizontal="right"/>
    </xf>
    <xf numFmtId="0" fontId="0" fillId="7" borderId="0" xfId="0" applyFill="1" applyBorder="1" applyAlignment="1">
      <alignment horizontal="center"/>
    </xf>
    <xf numFmtId="0" fontId="0" fillId="7" borderId="0" xfId="0" applyFill="1" applyBorder="1" applyAlignment="1">
      <alignment horizontal="left"/>
    </xf>
    <xf numFmtId="0" fontId="0" fillId="7" borderId="11" xfId="0" applyFill="1" applyBorder="1" applyAlignment="1">
      <alignment horizontal="center"/>
    </xf>
    <xf numFmtId="166" fontId="0" fillId="7" borderId="0" xfId="0" applyNumberFormat="1" applyFill="1" applyBorder="1" applyAlignment="1">
      <alignment horizontal="center"/>
    </xf>
    <xf numFmtId="2" fontId="0" fillId="7" borderId="11" xfId="0" applyNumberFormat="1" applyFill="1" applyBorder="1" applyAlignment="1">
      <alignment horizontal="center"/>
    </xf>
    <xf numFmtId="166" fontId="0" fillId="7" borderId="0" xfId="0" applyNumberFormat="1" applyFill="1" applyBorder="1" applyAlignment="1">
      <alignment horizontal="left"/>
    </xf>
    <xf numFmtId="0" fontId="0" fillId="7" borderId="0" xfId="0" applyNumberFormat="1" applyFill="1" applyBorder="1" applyAlignment="1">
      <alignment horizontal="left"/>
    </xf>
    <xf numFmtId="0" fontId="0" fillId="7" borderId="19" xfId="0" applyFill="1" applyBorder="1" applyAlignment="1">
      <alignment horizontal="right"/>
    </xf>
    <xf numFmtId="0" fontId="0" fillId="7" borderId="20" xfId="0" applyFill="1" applyBorder="1"/>
    <xf numFmtId="0" fontId="0" fillId="7" borderId="20" xfId="0" applyFill="1" applyBorder="1" applyAlignment="1">
      <alignment horizontal="left"/>
    </xf>
    <xf numFmtId="0" fontId="0" fillId="7" borderId="21" xfId="0" applyFill="1" applyBorder="1" applyAlignment="1">
      <alignment horizontal="center"/>
    </xf>
    <xf numFmtId="0" fontId="0" fillId="8" borderId="10" xfId="0" applyFill="1" applyBorder="1" applyAlignment="1">
      <alignment horizontal="right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0" fillId="8" borderId="11" xfId="0" applyFill="1" applyBorder="1" applyAlignment="1">
      <alignment horizontal="center"/>
    </xf>
    <xf numFmtId="166" fontId="0" fillId="8" borderId="0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6" fontId="0" fillId="8" borderId="0" xfId="0" applyNumberFormat="1" applyFill="1" applyBorder="1" applyAlignment="1">
      <alignment horizontal="left"/>
    </xf>
    <xf numFmtId="0" fontId="0" fillId="8" borderId="0" xfId="0" applyNumberFormat="1" applyFill="1" applyBorder="1" applyAlignment="1">
      <alignment horizontal="left"/>
    </xf>
    <xf numFmtId="0" fontId="0" fillId="8" borderId="19" xfId="0" applyFill="1" applyBorder="1" applyAlignment="1">
      <alignment horizontal="right"/>
    </xf>
    <xf numFmtId="0" fontId="0" fillId="8" borderId="20" xfId="0" applyFill="1" applyBorder="1"/>
    <xf numFmtId="0" fontId="0" fillId="8" borderId="20" xfId="0" applyFill="1" applyBorder="1" applyAlignment="1">
      <alignment horizontal="left"/>
    </xf>
    <xf numFmtId="0" fontId="0" fillId="8" borderId="21" xfId="0" applyFill="1" applyBorder="1" applyAlignment="1">
      <alignment horizontal="center"/>
    </xf>
    <xf numFmtId="0" fontId="0" fillId="9" borderId="10" xfId="0" applyFill="1" applyBorder="1" applyAlignment="1">
      <alignment horizontal="right"/>
    </xf>
    <xf numFmtId="0" fontId="0" fillId="9" borderId="0" xfId="0" applyFill="1" applyBorder="1" applyAlignment="1">
      <alignment horizontal="center"/>
    </xf>
    <xf numFmtId="0" fontId="0" fillId="9" borderId="0" xfId="0" applyFill="1" applyBorder="1" applyAlignment="1">
      <alignment horizontal="left"/>
    </xf>
    <xf numFmtId="0" fontId="0" fillId="9" borderId="11" xfId="0" applyFill="1" applyBorder="1" applyAlignment="1">
      <alignment horizontal="center"/>
    </xf>
    <xf numFmtId="166" fontId="0" fillId="9" borderId="0" xfId="0" applyNumberFormat="1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166" fontId="0" fillId="9" borderId="0" xfId="0" applyNumberFormat="1" applyFill="1" applyBorder="1" applyAlignment="1">
      <alignment horizontal="left"/>
    </xf>
    <xf numFmtId="0" fontId="0" fillId="9" borderId="0" xfId="0" applyNumberFormat="1" applyFill="1" applyBorder="1" applyAlignment="1">
      <alignment horizontal="left"/>
    </xf>
    <xf numFmtId="0" fontId="0" fillId="9" borderId="19" xfId="0" applyFill="1" applyBorder="1" applyAlignment="1">
      <alignment horizontal="right"/>
    </xf>
    <xf numFmtId="0" fontId="0" fillId="9" borderId="20" xfId="0" applyFill="1" applyBorder="1"/>
    <xf numFmtId="0" fontId="0" fillId="9" borderId="20" xfId="0" applyFill="1" applyBorder="1" applyAlignment="1">
      <alignment horizontal="left"/>
    </xf>
    <xf numFmtId="0" fontId="0" fillId="9" borderId="21" xfId="0" applyFill="1" applyBorder="1" applyAlignment="1">
      <alignment horizontal="center"/>
    </xf>
    <xf numFmtId="0" fontId="2" fillId="0" borderId="0" xfId="0" applyFont="1" applyAlignment="1">
      <alignment horizontal="center"/>
    </xf>
    <xf numFmtId="167" fontId="0" fillId="0" borderId="0" xfId="0" applyNumberFormat="1"/>
    <xf numFmtId="0" fontId="2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0" fontId="0" fillId="0" borderId="25" xfId="0" applyBorder="1" applyAlignment="1">
      <alignment horizontal="right"/>
    </xf>
    <xf numFmtId="0" fontId="0" fillId="0" borderId="27" xfId="0" applyBorder="1" applyAlignment="1">
      <alignment horizontal="center"/>
    </xf>
    <xf numFmtId="0" fontId="0" fillId="0" borderId="10" xfId="0" applyBorder="1" applyAlignment="1">
      <alignment horizontal="right"/>
    </xf>
    <xf numFmtId="166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right"/>
    </xf>
    <xf numFmtId="166" fontId="0" fillId="0" borderId="20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19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1" xfId="0" applyBorder="1" applyAlignment="1">
      <alignment horizontal="left"/>
    </xf>
    <xf numFmtId="2" fontId="0" fillId="0" borderId="0" xfId="0" applyNumberFormat="1" applyAlignment="1">
      <alignment horizontal="center"/>
    </xf>
    <xf numFmtId="2" fontId="1" fillId="0" borderId="0" xfId="1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center" vertical="center" wrapText="1"/>
    </xf>
    <xf numFmtId="168" fontId="0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/>
    </xf>
    <xf numFmtId="2" fontId="0" fillId="0" borderId="0" xfId="0" applyNumberFormat="1" applyAlignment="1">
      <alignment horizontal="left"/>
    </xf>
    <xf numFmtId="168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2" fontId="0" fillId="0" borderId="11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/>
    <xf numFmtId="2" fontId="0" fillId="0" borderId="20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0" borderId="26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66159805770261E-2"/>
          <c:y val="0.26531665136949906"/>
          <c:w val="0.94932010164097891"/>
          <c:h val="0.63648991728794635"/>
        </c:manualLayout>
      </c:layout>
      <c:scatterChart>
        <c:scatterStyle val="smoothMarker"/>
        <c:varyColors val="0"/>
        <c:ser>
          <c:idx val="0"/>
          <c:order val="0"/>
          <c:tx>
            <c:v>Actual Temperature</c:v>
          </c:tx>
          <c:spPr>
            <a:ln w="31750" cap="flat" cmpd="dbl" algn="ctr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tint val="77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 Chart'!$C$3:$C$8</c:f>
              <c:numCache>
                <c:formatCode>[$-F400]h:mm:ss\ AM/PM</c:formatCode>
                <c:ptCount val="6"/>
                <c:pt idx="0">
                  <c:v>0.12730555236339569</c:v>
                </c:pt>
                <c:pt idx="1">
                  <c:v>0.53852778673171997</c:v>
                </c:pt>
                <c:pt idx="2">
                  <c:v>1.1253055483102798</c:v>
                </c:pt>
                <c:pt idx="3">
                  <c:v>1.5455277562141418</c:v>
                </c:pt>
                <c:pt idx="4">
                  <c:v>2.1343055555555557</c:v>
                </c:pt>
                <c:pt idx="5">
                  <c:v>2.5415277777777776</c:v>
                </c:pt>
              </c:numCache>
            </c:numRef>
          </c:xVal>
          <c:yVal>
            <c:numRef>
              <c:f>'Curve Chart'!$D$3:$D$8</c:f>
              <c:numCache>
                <c:formatCode>0.00</c:formatCode>
                <c:ptCount val="6"/>
                <c:pt idx="0">
                  <c:v>19.89</c:v>
                </c:pt>
                <c:pt idx="1">
                  <c:v>29.94</c:v>
                </c:pt>
                <c:pt idx="2">
                  <c:v>19.22</c:v>
                </c:pt>
                <c:pt idx="3">
                  <c:v>28.46</c:v>
                </c:pt>
                <c:pt idx="4">
                  <c:v>17.829999999999998</c:v>
                </c:pt>
                <c:pt idx="5">
                  <c:v>31.18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74-4F41-8F26-196B4F04A4A2}"/>
            </c:ext>
          </c:extLst>
        </c:ser>
        <c:ser>
          <c:idx val="2"/>
          <c:order val="2"/>
          <c:tx>
            <c:v>Actual Temperature</c:v>
          </c:tx>
          <c:spPr>
            <a:ln w="12700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75000"/>
                  <a:alpha val="50000"/>
                </a:schemeClr>
              </a:solidFill>
              <a:ln w="34925" cap="flat" cmpd="dbl" algn="ctr">
                <a:noFill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 Chart'!$C$22:$C$27</c:f>
              <c:numCache>
                <c:formatCode>[$-F400]h:mm:ss\ AM/PM</c:formatCode>
                <c:ptCount val="6"/>
                <c:pt idx="0">
                  <c:v>0.12730555236339569</c:v>
                </c:pt>
                <c:pt idx="1">
                  <c:v>0.53852778673171997</c:v>
                </c:pt>
                <c:pt idx="2">
                  <c:v>1.1253055483102798</c:v>
                </c:pt>
                <c:pt idx="3">
                  <c:v>1.5455277562141418</c:v>
                </c:pt>
                <c:pt idx="4">
                  <c:v>2.1343055555555557</c:v>
                </c:pt>
                <c:pt idx="5">
                  <c:v>2.5415277777777776</c:v>
                </c:pt>
              </c:numCache>
            </c:numRef>
          </c:xVal>
          <c:yVal>
            <c:numRef>
              <c:f>'Curve Chart'!$D$22:$D$27</c:f>
              <c:numCache>
                <c:formatCode>0.00</c:formatCode>
                <c:ptCount val="6"/>
                <c:pt idx="0">
                  <c:v>19.219999313354492</c:v>
                </c:pt>
                <c:pt idx="1">
                  <c:v>28.459999084472656</c:v>
                </c:pt>
                <c:pt idx="2">
                  <c:v>17.860000610351563</c:v>
                </c:pt>
                <c:pt idx="3">
                  <c:v>30.579999923706055</c:v>
                </c:pt>
                <c:pt idx="4">
                  <c:v>17.829999999999998</c:v>
                </c:pt>
                <c:pt idx="5">
                  <c:v>31.18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F8-4BE1-AE18-F41B6BE90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475112"/>
        <c:axId val="577479048"/>
      </c:scatterChart>
      <c:scatterChart>
        <c:scatterStyle val="smoothMarker"/>
        <c:varyColors val="0"/>
        <c:ser>
          <c:idx val="1"/>
          <c:order val="1"/>
          <c:spPr>
            <a:ln w="25400" cap="flat" cmpd="dbl" algn="ctr">
              <a:solidFill>
                <a:schemeClr val="accent2">
                  <a:lumMod val="75000"/>
                  <a:alpha val="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noFill/>
                <a:round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D7C15C9-9A2B-4518-B955-4111A492813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1B3-4186-B407-D69A68A8A3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127BD6-CB96-4F44-B21E-0054D696CDB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B3-4186-B407-D69A68A8A3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3FB4D6-97CE-4CC4-8764-9FA6FD9074D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B3-4186-B407-D69A68A8A3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3C9BB1-9E3E-4A59-916F-A0771F3123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B3-4186-B407-D69A68A8A3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69E5B2-4CC8-47D0-AB6F-F1AC9CDA14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B3-4186-B407-D69A68A8A3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3A1859-0312-45B7-A965-30BD88DC25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B3-4186-B407-D69A68A8A3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21B82D-8229-4210-BB8D-D0F2B8B326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B3-4186-B407-D69A68A8A3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AB48AC-3A8C-4FDB-B6BF-78657C25F74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B3-4186-B407-D69A68A8A3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DD3600-EFF2-41AA-8ADF-76C4D79070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B3-4186-B407-D69A68A8A3A0}"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  <a:effectLst/>
            </c:spPr>
            <c:txPr>
              <a:bodyPr rot="-5400000" spcFirstLastPara="1" vertOverflow="ellipsis" vert="horz" wrap="square" lIns="36000" tIns="36000" rIns="36000" bIns="3600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minus"/>
            <c:errValType val="fixedVal"/>
            <c:noEndCap val="1"/>
            <c:val val="100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xVal>
            <c:numRef>
              <c:f>'Curve Chart'!$C$9:$C$17</c:f>
              <c:numCache>
                <c:formatCode>[$-F400]h:mm:ss\ AM/PM</c:formatCode>
                <c:ptCount val="9"/>
                <c:pt idx="0">
                  <c:v>1.075</c:v>
                </c:pt>
                <c:pt idx="1">
                  <c:v>1.9180555555555556</c:v>
                </c:pt>
                <c:pt idx="2">
                  <c:v>1.1166666666666667</c:v>
                </c:pt>
                <c:pt idx="3">
                  <c:v>1.8763888888888891</c:v>
                </c:pt>
                <c:pt idx="4">
                  <c:v>1.1493055555555556</c:v>
                </c:pt>
                <c:pt idx="5">
                  <c:v>1.84375</c:v>
                </c:pt>
                <c:pt idx="6">
                  <c:v>1.1743055555555555</c:v>
                </c:pt>
                <c:pt idx="7">
                  <c:v>1.8187500000000001</c:v>
                </c:pt>
                <c:pt idx="8">
                  <c:v>1.4965277777777777</c:v>
                </c:pt>
              </c:numCache>
            </c:numRef>
          </c:xVal>
          <c:yVal>
            <c:numRef>
              <c:f>'Curve Chart'!$D$9:$D$17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'Curve Chart'!$B$9:$B$17</c15:f>
                <c15:dlblRangeCache>
                  <c:ptCount val="9"/>
                  <c:pt idx="0">
                    <c:v>Astro. Dawn</c:v>
                  </c:pt>
                  <c:pt idx="1">
                    <c:v>Astro. Dusk</c:v>
                  </c:pt>
                  <c:pt idx="2">
                    <c:v>Naut. Dawn</c:v>
                  </c:pt>
                  <c:pt idx="3">
                    <c:v>Naut. Dusk</c:v>
                  </c:pt>
                  <c:pt idx="4">
                    <c:v>Civil Dawn</c:v>
                  </c:pt>
                  <c:pt idx="5">
                    <c:v>Civil Dusk</c:v>
                  </c:pt>
                  <c:pt idx="6">
                    <c:v>Sunrise</c:v>
                  </c:pt>
                  <c:pt idx="7">
                    <c:v>Sunset</c:v>
                  </c:pt>
                  <c:pt idx="8">
                    <c:v>Noon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6974-4F41-8F26-196B4F04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249112"/>
        <c:axId val="432244520"/>
      </c:scatterChart>
      <c:valAx>
        <c:axId val="577475112"/>
        <c:scaling>
          <c:orientation val="minMax"/>
          <c:max val="2.0099999999999998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1270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9048"/>
        <c:crosses val="autoZero"/>
        <c:crossBetween val="midCat"/>
        <c:majorUnit val="4.1666666700000014E-2"/>
      </c:valAx>
      <c:valAx>
        <c:axId val="57747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5112"/>
        <c:crosses val="autoZero"/>
        <c:crossBetween val="midCat"/>
      </c:valAx>
      <c:valAx>
        <c:axId val="432244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49112"/>
        <c:crosses val="max"/>
        <c:crossBetween val="midCat"/>
      </c:valAx>
      <c:valAx>
        <c:axId val="432249112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43224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47625</xdr:rowOff>
        </xdr:from>
        <xdr:to>
          <xdr:col>4</xdr:col>
          <xdr:colOff>257175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0</xdr:row>
          <xdr:rowOff>47625</xdr:rowOff>
        </xdr:from>
        <xdr:to>
          <xdr:col>6</xdr:col>
          <xdr:colOff>1057275</xdr:colOff>
          <xdr:row>2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1104900</xdr:colOff>
          <xdr:row>0</xdr:row>
          <xdr:rowOff>47625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Generate Next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0</xdr:row>
          <xdr:rowOff>47625</xdr:rowOff>
        </xdr:from>
        <xdr:to>
          <xdr:col>8</xdr:col>
          <xdr:colOff>2600325</xdr:colOff>
          <xdr:row>2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Generate Current 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1"/>
  <sheetViews>
    <sheetView zoomScaleNormal="100" workbookViewId="0">
      <selection activeCell="B1" sqref="B1"/>
    </sheetView>
  </sheetViews>
  <sheetFormatPr defaultColWidth="0.85546875" defaultRowHeight="15" x14ac:dyDescent="0.25"/>
  <cols>
    <col min="1" max="1" width="0.85546875" customWidth="1"/>
    <col min="2" max="3" width="7.7109375" customWidth="1"/>
    <col min="4" max="4" width="9.28515625" customWidth="1"/>
    <col min="5" max="6" width="8.28515625" customWidth="1"/>
    <col min="7" max="7" width="21.42578125" customWidth="1"/>
    <col min="8" max="8" width="12.5703125" customWidth="1"/>
    <col min="9" max="9" width="93.7109375" customWidth="1"/>
    <col min="10" max="10" width="7.85546875" customWidth="1"/>
    <col min="11" max="11" width="9.85546875" customWidth="1"/>
    <col min="12" max="12" width="1.7109375" customWidth="1"/>
    <col min="13" max="13" width="20.28515625" customWidth="1"/>
    <col min="14" max="14" width="1.5703125" customWidth="1"/>
    <col min="15" max="15" width="35" bestFit="1" customWidth="1"/>
  </cols>
  <sheetData>
    <row r="2" spans="12:15" ht="15.75" thickBot="1" x14ac:dyDescent="0.3">
      <c r="L2" s="8"/>
      <c r="M2" s="119" t="s">
        <v>10</v>
      </c>
      <c r="N2" s="119"/>
      <c r="O2" s="119"/>
    </row>
    <row r="3" spans="12:15" ht="15.75" thickBot="1" x14ac:dyDescent="0.3">
      <c r="M3" s="9" t="s">
        <v>11</v>
      </c>
      <c r="N3" s="10" t="s">
        <v>12</v>
      </c>
      <c r="O3" s="11"/>
    </row>
    <row r="4" spans="12:15" ht="15.75" thickBot="1" x14ac:dyDescent="0.3">
      <c r="M4" s="12" t="s">
        <v>13</v>
      </c>
      <c r="N4" s="13" t="s">
        <v>12</v>
      </c>
      <c r="O4" s="14"/>
    </row>
    <row r="5" spans="12:15" x14ac:dyDescent="0.25">
      <c r="M5" s="15" t="s">
        <v>14</v>
      </c>
      <c r="N5" s="16" t="s">
        <v>12</v>
      </c>
      <c r="O5" s="17">
        <v>1</v>
      </c>
    </row>
    <row r="6" spans="12:15" ht="15.75" thickBot="1" x14ac:dyDescent="0.3">
      <c r="M6" s="12" t="s">
        <v>15</v>
      </c>
      <c r="N6" s="13" t="s">
        <v>12</v>
      </c>
      <c r="O6" s="18"/>
    </row>
    <row r="7" spans="12:15" ht="15.75" thickBot="1" x14ac:dyDescent="0.3">
      <c r="M7" s="15" t="s">
        <v>414</v>
      </c>
      <c r="N7" s="16" t="s">
        <v>12</v>
      </c>
      <c r="O7" s="35">
        <v>1876</v>
      </c>
    </row>
    <row r="8" spans="12:15" ht="15.75" thickBot="1" x14ac:dyDescent="0.3">
      <c r="M8" s="12" t="s">
        <v>16</v>
      </c>
      <c r="N8" s="13" t="s">
        <v>12</v>
      </c>
      <c r="O8" s="14" t="s">
        <v>471</v>
      </c>
    </row>
    <row r="9" spans="12:15" ht="15.75" thickBot="1" x14ac:dyDescent="0.3">
      <c r="M9" s="15" t="s">
        <v>0</v>
      </c>
      <c r="N9" s="16" t="s">
        <v>12</v>
      </c>
      <c r="O9" s="35">
        <v>17</v>
      </c>
    </row>
    <row r="10" spans="12:15" ht="15.75" thickBot="1" x14ac:dyDescent="0.3">
      <c r="M10" s="12" t="s">
        <v>17</v>
      </c>
      <c r="N10" s="13" t="s">
        <v>12</v>
      </c>
      <c r="O10" s="14"/>
    </row>
    <row r="11" spans="12:15" ht="15.75" thickBot="1" x14ac:dyDescent="0.3">
      <c r="M11" s="15" t="s">
        <v>18</v>
      </c>
      <c r="N11" s="16" t="s">
        <v>12</v>
      </c>
      <c r="O11" s="11"/>
    </row>
    <row r="12" spans="12:15" ht="15.75" thickBot="1" x14ac:dyDescent="0.3">
      <c r="M12" s="12" t="s">
        <v>19</v>
      </c>
      <c r="N12" s="13" t="s">
        <v>12</v>
      </c>
      <c r="O12" s="14" t="s">
        <v>482</v>
      </c>
    </row>
    <row r="13" spans="12:15" ht="15.75" thickBot="1" x14ac:dyDescent="0.3">
      <c r="M13" s="15" t="s">
        <v>20</v>
      </c>
      <c r="N13" s="16" t="s">
        <v>12</v>
      </c>
      <c r="O13" s="11"/>
    </row>
    <row r="14" spans="12:15" ht="15.75" thickBot="1" x14ac:dyDescent="0.3">
      <c r="M14" s="19" t="s">
        <v>21</v>
      </c>
      <c r="N14" s="20" t="s">
        <v>12</v>
      </c>
      <c r="O14" s="14"/>
    </row>
    <row r="15" spans="12:15" x14ac:dyDescent="0.25">
      <c r="M15" s="8"/>
      <c r="N15" s="8"/>
      <c r="O15" s="8"/>
    </row>
    <row r="16" spans="12:15" ht="15.75" thickBot="1" x14ac:dyDescent="0.3">
      <c r="M16" s="119" t="s">
        <v>22</v>
      </c>
      <c r="N16" s="119"/>
      <c r="O16" s="119"/>
    </row>
    <row r="17" spans="2:15" ht="15.75" thickBot="1" x14ac:dyDescent="0.3">
      <c r="M17" s="15" t="s">
        <v>23</v>
      </c>
      <c r="N17" s="16" t="s">
        <v>12</v>
      </c>
      <c r="O17" s="11"/>
    </row>
    <row r="18" spans="2:15" ht="15.75" thickBot="1" x14ac:dyDescent="0.3">
      <c r="M18" s="12" t="s">
        <v>24</v>
      </c>
      <c r="N18" s="13" t="s">
        <v>12</v>
      </c>
      <c r="O18" s="14"/>
    </row>
    <row r="19" spans="2:15" ht="15.75" thickBot="1" x14ac:dyDescent="0.3">
      <c r="M19" s="15" t="s">
        <v>25</v>
      </c>
      <c r="N19" s="16" t="s">
        <v>12</v>
      </c>
      <c r="O19" s="11"/>
    </row>
    <row r="20" spans="2:15" ht="15.75" thickBot="1" x14ac:dyDescent="0.3">
      <c r="M20" s="12" t="s">
        <v>26</v>
      </c>
      <c r="N20" s="13" t="s">
        <v>12</v>
      </c>
      <c r="O20" s="14"/>
    </row>
    <row r="21" spans="2:15" ht="15.75" thickBot="1" x14ac:dyDescent="0.3">
      <c r="M21" s="15" t="s">
        <v>27</v>
      </c>
      <c r="N21" s="16" t="s">
        <v>12</v>
      </c>
      <c r="O21" s="11"/>
    </row>
    <row r="22" spans="2:15" ht="15.75" thickBot="1" x14ac:dyDescent="0.3">
      <c r="M22" s="12"/>
      <c r="N22" s="13" t="s">
        <v>12</v>
      </c>
      <c r="O22" s="14"/>
    </row>
    <row r="23" spans="2:15" ht="15.75" thickBot="1" x14ac:dyDescent="0.3">
      <c r="M23" s="15"/>
      <c r="N23" s="16" t="s">
        <v>12</v>
      </c>
      <c r="O23" s="11"/>
    </row>
    <row r="24" spans="2:15" ht="15.75" thickBot="1" x14ac:dyDescent="0.3">
      <c r="M24" s="12"/>
      <c r="N24" s="13" t="s">
        <v>12</v>
      </c>
      <c r="O24" s="14"/>
    </row>
    <row r="25" spans="2:15" ht="15.75" thickBot="1" x14ac:dyDescent="0.3">
      <c r="B25" s="87" t="str">
        <f>Calculations!C6</f>
        <v>18 June 1876</v>
      </c>
      <c r="F25" s="31"/>
      <c r="G25" s="112"/>
      <c r="M25" s="15"/>
      <c r="N25" s="16" t="s">
        <v>12</v>
      </c>
      <c r="O25" s="11"/>
    </row>
    <row r="26" spans="2:15" ht="15.75" thickBot="1" x14ac:dyDescent="0.3">
      <c r="B26" s="1" t="str">
        <f>"Extreme Temperature = "&amp;IF('Macro Data'!B22="","None",'Macro Data'!B22)</f>
        <v>Extreme Temperature = None</v>
      </c>
      <c r="M26" s="19"/>
      <c r="N26" s="21" t="s">
        <v>12</v>
      </c>
      <c r="O26" s="14"/>
    </row>
    <row r="27" spans="2:15" x14ac:dyDescent="0.25">
      <c r="M27" s="8"/>
      <c r="N27" s="8"/>
      <c r="O27" s="8"/>
    </row>
    <row r="28" spans="2:15" x14ac:dyDescent="0.25">
      <c r="M28" s="120" t="s">
        <v>29</v>
      </c>
      <c r="N28" s="120"/>
      <c r="O28" s="120"/>
    </row>
    <row r="29" spans="2:15" x14ac:dyDescent="0.25">
      <c r="M29" s="15" t="s">
        <v>28</v>
      </c>
      <c r="N29" s="16" t="s">
        <v>12</v>
      </c>
      <c r="O29" s="22"/>
    </row>
    <row r="30" spans="2:15" x14ac:dyDescent="0.25">
      <c r="M30" s="12" t="s">
        <v>30</v>
      </c>
      <c r="N30" s="13" t="s">
        <v>12</v>
      </c>
      <c r="O30" s="18"/>
    </row>
    <row r="31" spans="2:15" x14ac:dyDescent="0.25">
      <c r="M31" s="15" t="s">
        <v>31</v>
      </c>
      <c r="N31" s="16" t="s">
        <v>12</v>
      </c>
      <c r="O31" s="22"/>
    </row>
    <row r="32" spans="2:15" x14ac:dyDescent="0.25">
      <c r="M32" s="12" t="s">
        <v>32</v>
      </c>
      <c r="N32" s="13" t="s">
        <v>12</v>
      </c>
      <c r="O32" s="18"/>
    </row>
    <row r="33" spans="2:15" x14ac:dyDescent="0.25">
      <c r="M33" s="15" t="s">
        <v>33</v>
      </c>
      <c r="N33" s="16" t="s">
        <v>12</v>
      </c>
      <c r="O33" s="22"/>
    </row>
    <row r="34" spans="2:15" x14ac:dyDescent="0.25">
      <c r="M34" s="12" t="s">
        <v>34</v>
      </c>
      <c r="N34" s="13" t="s">
        <v>12</v>
      </c>
      <c r="O34" s="23"/>
    </row>
    <row r="35" spans="2:15" x14ac:dyDescent="0.25">
      <c r="M35" s="15" t="s">
        <v>35</v>
      </c>
      <c r="N35" s="16" t="s">
        <v>12</v>
      </c>
      <c r="O35" s="22"/>
    </row>
    <row r="36" spans="2:15" x14ac:dyDescent="0.25">
      <c r="M36" s="12" t="s">
        <v>36</v>
      </c>
      <c r="N36" s="13" t="s">
        <v>12</v>
      </c>
      <c r="O36" s="18"/>
    </row>
    <row r="37" spans="2:15" x14ac:dyDescent="0.25">
      <c r="B37" s="2" t="s">
        <v>0</v>
      </c>
      <c r="C37" s="3" t="s">
        <v>1</v>
      </c>
      <c r="D37" s="4" t="s">
        <v>2</v>
      </c>
      <c r="E37" s="5" t="s">
        <v>3</v>
      </c>
      <c r="F37" s="5" t="s">
        <v>4</v>
      </c>
      <c r="G37" s="5" t="s">
        <v>5</v>
      </c>
      <c r="H37" s="5" t="s">
        <v>6</v>
      </c>
      <c r="I37" s="6" t="s">
        <v>7</v>
      </c>
      <c r="J37" s="5" t="s">
        <v>8</v>
      </c>
      <c r="K37" s="7" t="s">
        <v>9</v>
      </c>
      <c r="M37" s="15" t="s">
        <v>37</v>
      </c>
      <c r="N37" s="16" t="s">
        <v>12</v>
      </c>
      <c r="O37" s="17"/>
    </row>
    <row r="38" spans="2:15" x14ac:dyDescent="0.25">
      <c r="M38" s="12" t="s">
        <v>38</v>
      </c>
      <c r="N38" s="13" t="s">
        <v>12</v>
      </c>
      <c r="O38" s="18"/>
    </row>
    <row r="39" spans="2:15" x14ac:dyDescent="0.25">
      <c r="B39" s="86"/>
      <c r="M39" s="24" t="s">
        <v>39</v>
      </c>
      <c r="N39" s="25" t="s">
        <v>12</v>
      </c>
      <c r="O39" s="26"/>
    </row>
    <row r="40" spans="2:15" x14ac:dyDescent="0.25">
      <c r="M40" s="8"/>
      <c r="N40" s="8"/>
      <c r="O40" s="8"/>
    </row>
    <row r="41" spans="2:15" x14ac:dyDescent="0.25">
      <c r="M41" s="27"/>
      <c r="N41" s="8"/>
      <c r="O41" s="8"/>
    </row>
  </sheetData>
  <mergeCells count="3">
    <mergeCell ref="M2:O2"/>
    <mergeCell ref="M16:O16"/>
    <mergeCell ref="M28:O28"/>
  </mergeCells>
  <dataValidations count="2">
    <dataValidation type="list" allowBlank="1" showInputMessage="1" showErrorMessage="1" sqref="O8" xr:uid="{00000000-0002-0000-0000-000001000000}">
      <formula1>"January,February,March,April,May,June,July,August,September,October,November,December"</formula1>
    </dataValidation>
    <dataValidation type="list" allowBlank="1" showInputMessage="1" showErrorMessage="1" sqref="O7" xr:uid="{00000000-0002-0000-0000-000002000000}">
      <formula1>"1876,1877,1878,1879,1880"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ThisWorkbook.Save_Data">
                <anchor mov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4</xdr:col>
                    <xdr:colOff>257175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ThisWorkbook.ResetData">
                <anchor moveWithCells="1">
                  <from>
                    <xdr:col>4</xdr:col>
                    <xdr:colOff>304800</xdr:colOff>
                    <xdr:row>0</xdr:row>
                    <xdr:rowOff>47625</xdr:rowOff>
                  </from>
                  <to>
                    <xdr:col>6</xdr:col>
                    <xdr:colOff>1057275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hisWorkbook.GenerateNextDay">
                <anchor moveWithCells="1">
                  <from>
                    <xdr:col>6</xdr:col>
                    <xdr:colOff>1104900</xdr:colOff>
                    <xdr:row>0</xdr:row>
                    <xdr:rowOff>47625</xdr:rowOff>
                  </from>
                  <to>
                    <xdr:col>8</xdr:col>
                    <xdr:colOff>695325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hisWorkbook.GenerateCurrentDay">
                <anchor moveWithCells="1">
                  <from>
                    <xdr:col>8</xdr:col>
                    <xdr:colOff>742950</xdr:colOff>
                    <xdr:row>0</xdr:row>
                    <xdr:rowOff>47625</xdr:rowOff>
                  </from>
                  <to>
                    <xdr:col>8</xdr:col>
                    <xdr:colOff>2600325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B60686-5F89-4937-B271-AEE5831C0A80}">
          <x14:formula1>
            <xm:f>Charts!$AJ$4:$AJ$12</xm:f>
          </x14:formula1>
          <xm:sqref>O12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G369"/>
  <sheetViews>
    <sheetView workbookViewId="0">
      <pane xSplit="1" ySplit="3" topLeftCell="Z4" activePane="bottomRight" state="frozen"/>
      <selection pane="topRight" activeCell="C1" sqref="C1"/>
      <selection pane="bottomLeft" activeCell="A4" sqref="A4"/>
      <selection pane="bottomRight" activeCell="AP4" sqref="AP4"/>
    </sheetView>
  </sheetViews>
  <sheetFormatPr defaultColWidth="0.85546875" defaultRowHeight="15" x14ac:dyDescent="0.25"/>
  <cols>
    <col min="1" max="1" width="18" style="28" bestFit="1" customWidth="1"/>
    <col min="2" max="3" width="8.140625" style="30" bestFit="1" customWidth="1"/>
    <col min="4" max="9" width="9.85546875" customWidth="1"/>
    <col min="10" max="10" width="9.140625" customWidth="1"/>
    <col min="11" max="13" width="6.28515625" style="30" customWidth="1"/>
    <col min="14" max="18" width="12.7109375" style="30" customWidth="1"/>
    <col min="19" max="19" width="5.28515625" style="30" customWidth="1"/>
    <col min="20" max="20" width="5.28515625" customWidth="1"/>
    <col min="22" max="22" width="4.28515625" style="28" customWidth="1"/>
    <col min="23" max="27" width="5.28515625" style="39" customWidth="1"/>
    <col min="28" max="28" width="0.85546875" customWidth="1"/>
    <col min="29" max="29" width="4.28515625" customWidth="1"/>
    <col min="30" max="34" width="5.28515625" customWidth="1"/>
    <col min="36" max="36" width="13.85546875" bestFit="1" customWidth="1"/>
    <col min="37" max="37" width="6.7109375" style="30" customWidth="1"/>
    <col min="38" max="39" width="6.7109375" customWidth="1"/>
    <col min="41" max="41" width="4" bestFit="1" customWidth="1"/>
    <col min="42" max="42" width="20.7109375" customWidth="1"/>
    <col min="43" max="44" width="3.7109375" style="30" customWidth="1"/>
    <col min="46" max="59" width="5.7109375" style="30" customWidth="1"/>
  </cols>
  <sheetData>
    <row r="1" spans="1:52" x14ac:dyDescent="0.25">
      <c r="A1" s="121" t="s">
        <v>421</v>
      </c>
      <c r="B1" s="121"/>
      <c r="C1" s="121"/>
      <c r="D1" s="121"/>
      <c r="E1" s="121"/>
      <c r="F1" s="121"/>
      <c r="G1" s="121"/>
      <c r="H1" s="121"/>
      <c r="I1" s="121"/>
      <c r="J1" s="121"/>
      <c r="K1" s="121" t="s">
        <v>427</v>
      </c>
      <c r="L1" s="121"/>
      <c r="M1" s="121"/>
      <c r="N1" s="121"/>
      <c r="O1" s="121"/>
      <c r="P1" s="121"/>
      <c r="Q1" s="121"/>
      <c r="R1" s="121"/>
      <c r="AK1" s="42"/>
    </row>
    <row r="2" spans="1:52" x14ac:dyDescent="0.25">
      <c r="A2" s="36" t="s">
        <v>407</v>
      </c>
      <c r="B2" s="37" t="s">
        <v>28</v>
      </c>
      <c r="C2" s="37" t="s">
        <v>30</v>
      </c>
      <c r="D2" s="122" t="s">
        <v>408</v>
      </c>
      <c r="E2" s="122"/>
      <c r="F2" s="122" t="s">
        <v>411</v>
      </c>
      <c r="G2" s="122"/>
      <c r="H2" s="122" t="s">
        <v>412</v>
      </c>
      <c r="I2" s="122"/>
      <c r="J2" s="38" t="s">
        <v>40</v>
      </c>
      <c r="K2" s="121" t="s">
        <v>423</v>
      </c>
      <c r="L2" s="121"/>
      <c r="M2" s="121"/>
      <c r="N2" s="37" t="s">
        <v>5</v>
      </c>
      <c r="O2" s="37" t="s">
        <v>5</v>
      </c>
      <c r="P2" s="37" t="s">
        <v>428</v>
      </c>
      <c r="Q2" s="37" t="s">
        <v>429</v>
      </c>
      <c r="R2" s="37" t="s">
        <v>430</v>
      </c>
      <c r="S2" s="121" t="s">
        <v>432</v>
      </c>
      <c r="T2" s="121"/>
      <c r="AK2" s="42"/>
    </row>
    <row r="3" spans="1:52" ht="15" customHeight="1" x14ac:dyDescent="0.25">
      <c r="A3" s="36"/>
      <c r="B3" s="37"/>
      <c r="C3" s="37"/>
      <c r="D3" s="38" t="s">
        <v>409</v>
      </c>
      <c r="E3" s="38" t="s">
        <v>410</v>
      </c>
      <c r="F3" s="38" t="s">
        <v>409</v>
      </c>
      <c r="G3" s="38" t="s">
        <v>410</v>
      </c>
      <c r="H3" s="38" t="s">
        <v>409</v>
      </c>
      <c r="I3" s="38" t="s">
        <v>410</v>
      </c>
      <c r="J3" s="38"/>
      <c r="K3" s="38" t="s">
        <v>425</v>
      </c>
      <c r="L3" s="38" t="s">
        <v>424</v>
      </c>
      <c r="M3" s="38" t="s">
        <v>426</v>
      </c>
      <c r="O3" s="32" t="s">
        <v>509</v>
      </c>
      <c r="P3" s="32"/>
      <c r="Q3" s="32"/>
      <c r="R3" s="32"/>
      <c r="S3" s="32" t="s">
        <v>425</v>
      </c>
      <c r="T3" s="32" t="s">
        <v>424</v>
      </c>
      <c r="U3" s="40"/>
      <c r="V3" s="42"/>
      <c r="W3" s="45" t="s">
        <v>434</v>
      </c>
      <c r="X3" s="45" t="s">
        <v>433</v>
      </c>
      <c r="Y3" s="45" t="s">
        <v>431</v>
      </c>
      <c r="Z3" s="45" t="s">
        <v>435</v>
      </c>
      <c r="AA3" s="45" t="s">
        <v>436</v>
      </c>
      <c r="AC3" s="42"/>
      <c r="AD3" s="45" t="s">
        <v>434</v>
      </c>
      <c r="AE3" s="45" t="s">
        <v>433</v>
      </c>
      <c r="AF3" s="45" t="s">
        <v>431</v>
      </c>
      <c r="AG3" s="45" t="s">
        <v>435</v>
      </c>
      <c r="AH3" s="45" t="s">
        <v>436</v>
      </c>
      <c r="AK3" s="45" t="s">
        <v>472</v>
      </c>
      <c r="AL3" s="45" t="s">
        <v>497</v>
      </c>
      <c r="AM3" s="45" t="s">
        <v>429</v>
      </c>
      <c r="AT3" s="118"/>
      <c r="AU3" s="118"/>
      <c r="AY3" s="118"/>
      <c r="AZ3" s="118"/>
    </row>
    <row r="4" spans="1:52" ht="15.95" customHeight="1" x14ac:dyDescent="0.25">
      <c r="A4" s="29" t="s">
        <v>41</v>
      </c>
      <c r="B4" s="31">
        <v>0.31111111111111112</v>
      </c>
      <c r="C4" s="31">
        <v>0.68541666666666667</v>
      </c>
      <c r="D4" s="48">
        <v>0.2388888888888889</v>
      </c>
      <c r="E4" s="48">
        <v>0.75763888888888886</v>
      </c>
      <c r="F4" s="48">
        <v>0.26319444444444445</v>
      </c>
      <c r="G4" s="48">
        <v>0.73333333333333339</v>
      </c>
      <c r="H4" s="48">
        <v>0.28888888888888892</v>
      </c>
      <c r="I4" s="48">
        <v>0.70833333333333337</v>
      </c>
      <c r="J4" s="31">
        <v>0.49861111111111112</v>
      </c>
      <c r="K4" s="30">
        <v>32</v>
      </c>
      <c r="L4" s="30">
        <v>32</v>
      </c>
      <c r="M4" s="90">
        <v>26.6</v>
      </c>
      <c r="N4" s="89">
        <v>2.6</v>
      </c>
      <c r="O4" s="106">
        <v>46</v>
      </c>
      <c r="P4" s="108">
        <v>15.8</v>
      </c>
      <c r="Q4" s="108">
        <v>10</v>
      </c>
      <c r="R4" s="107">
        <v>23</v>
      </c>
      <c r="S4" s="41" t="s">
        <v>435</v>
      </c>
      <c r="T4" s="41" t="s">
        <v>436</v>
      </c>
      <c r="U4" s="40"/>
      <c r="V4" s="44">
        <v>1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C4" s="44">
        <v>1</v>
      </c>
      <c r="AD4" s="46"/>
      <c r="AE4" s="46"/>
      <c r="AF4" s="46"/>
      <c r="AG4" s="46"/>
      <c r="AH4" s="46"/>
      <c r="AJ4" s="29" t="s">
        <v>482</v>
      </c>
      <c r="AK4" s="105">
        <v>0</v>
      </c>
      <c r="AL4" s="30">
        <v>0</v>
      </c>
      <c r="AO4">
        <v>1</v>
      </c>
      <c r="AP4" s="1" t="s">
        <v>499</v>
      </c>
      <c r="AR4" s="30">
        <v>10</v>
      </c>
      <c r="AT4" s="1"/>
      <c r="AU4" s="1"/>
    </row>
    <row r="5" spans="1:52" ht="15.95" customHeight="1" x14ac:dyDescent="0.25">
      <c r="A5" s="29" t="s">
        <v>42</v>
      </c>
      <c r="B5" s="31">
        <v>0.31111111111111112</v>
      </c>
      <c r="C5" s="31">
        <v>0.68611111111111101</v>
      </c>
      <c r="D5" s="48">
        <v>0.23958333333333334</v>
      </c>
      <c r="E5" s="48">
        <v>0.7583333333333333</v>
      </c>
      <c r="F5" s="48">
        <v>0.26319444444444445</v>
      </c>
      <c r="G5" s="48">
        <v>0.73402777777777783</v>
      </c>
      <c r="H5" s="48">
        <v>0.28888888888888892</v>
      </c>
      <c r="I5" s="48">
        <v>0.7090277777777777</v>
      </c>
      <c r="J5" s="31">
        <v>0.49861111111111112</v>
      </c>
      <c r="K5" s="30">
        <f>((K35-K4)/31)+K4</f>
        <v>32.193548387096776</v>
      </c>
      <c r="L5" s="30">
        <f>((L35-L4)/31)+L4</f>
        <v>31.93548387096774</v>
      </c>
      <c r="M5" s="90">
        <v>26.658064516129034</v>
      </c>
      <c r="N5" s="89">
        <f>((($N$35-$N$4)/31)+N4)</f>
        <v>2.6419354838709679</v>
      </c>
      <c r="O5" s="106">
        <f>(($O$35-$O$4)/31)+O4</f>
        <v>45.838709677419352</v>
      </c>
      <c r="P5" s="108">
        <v>15.858064516129033</v>
      </c>
      <c r="Q5" s="108">
        <v>10.03225806451613</v>
      </c>
      <c r="R5" s="107">
        <v>22.967741935483872</v>
      </c>
      <c r="S5" s="41" t="s">
        <v>435</v>
      </c>
      <c r="T5" s="41" t="s">
        <v>436</v>
      </c>
      <c r="U5" s="33"/>
      <c r="V5" s="44">
        <v>2</v>
      </c>
      <c r="W5" s="46">
        <f>W4+(1/24)</f>
        <v>4.1666666666666664E-2</v>
      </c>
      <c r="X5" s="46">
        <f>X4+(1/15)</f>
        <v>6.6666666666666666E-2</v>
      </c>
      <c r="Y5" s="46">
        <f>Y4+(1/11)</f>
        <v>9.0909090909090912E-2</v>
      </c>
      <c r="Z5" s="46">
        <f>Z4+(1/9)</f>
        <v>0.1111111111111111</v>
      </c>
      <c r="AA5" s="46">
        <f>AA4+(1/4)</f>
        <v>0.25</v>
      </c>
      <c r="AC5" s="44">
        <v>2</v>
      </c>
      <c r="AD5" s="46"/>
      <c r="AE5" s="46"/>
      <c r="AF5" s="46"/>
      <c r="AG5" s="46"/>
      <c r="AH5" s="46"/>
      <c r="AJ5" s="29" t="s">
        <v>483</v>
      </c>
      <c r="AK5" s="105">
        <v>-5</v>
      </c>
      <c r="AL5" s="30">
        <v>0</v>
      </c>
      <c r="AO5">
        <v>2</v>
      </c>
      <c r="AP5" s="1" t="s">
        <v>499</v>
      </c>
      <c r="AR5" s="30">
        <v>10</v>
      </c>
      <c r="AT5" s="1"/>
      <c r="AU5" s="1"/>
    </row>
    <row r="6" spans="1:52" ht="15.95" customHeight="1" x14ac:dyDescent="0.25">
      <c r="A6" s="29" t="s">
        <v>43</v>
      </c>
      <c r="B6" s="31">
        <v>0.31111111111111112</v>
      </c>
      <c r="C6" s="31">
        <v>0.68680555555555556</v>
      </c>
      <c r="D6" s="48">
        <v>0.23958333333333334</v>
      </c>
      <c r="E6" s="48">
        <v>0.75902777777777775</v>
      </c>
      <c r="F6" s="48">
        <v>0.2638888888888889</v>
      </c>
      <c r="G6" s="48">
        <v>0.73472222222222217</v>
      </c>
      <c r="H6" s="48">
        <v>0.28888888888888892</v>
      </c>
      <c r="I6" s="48">
        <v>0.70972222222222225</v>
      </c>
      <c r="J6" s="31">
        <v>0.4993055555555555</v>
      </c>
      <c r="K6" s="30">
        <f>((K35-K4)/31)+K5</f>
        <v>32.387096774193552</v>
      </c>
      <c r="L6" s="30">
        <f>((L35-L4)/31)+L5</f>
        <v>31.87096774193548</v>
      </c>
      <c r="M6" s="90">
        <v>26.716129032258067</v>
      </c>
      <c r="N6" s="89">
        <f t="shared" ref="N6:N34" si="0">((($N$35-$N$4)/31)+N5)</f>
        <v>2.6838709677419357</v>
      </c>
      <c r="O6" s="106">
        <f t="shared" ref="O6:O34" si="1">(($O$35-$O$4)/31)+O5</f>
        <v>45.677419354838705</v>
      </c>
      <c r="P6" s="108">
        <v>15.916129032258066</v>
      </c>
      <c r="Q6" s="108">
        <v>10.06451612903226</v>
      </c>
      <c r="R6" s="107">
        <v>22.935483870967744</v>
      </c>
      <c r="S6" s="41" t="s">
        <v>435</v>
      </c>
      <c r="T6" s="41" t="s">
        <v>436</v>
      </c>
      <c r="U6" s="33"/>
      <c r="V6" s="44">
        <v>3</v>
      </c>
      <c r="W6" s="46">
        <f t="shared" ref="W6:W27" si="2">W5+(1/24)</f>
        <v>8.3333333333333329E-2</v>
      </c>
      <c r="X6" s="46">
        <f t="shared" ref="X6:X18" si="3">X5+(1/15)</f>
        <v>0.13333333333333333</v>
      </c>
      <c r="Y6" s="46">
        <f t="shared" ref="Y6:Y14" si="4">Y5+(1/11)</f>
        <v>0.18181818181818182</v>
      </c>
      <c r="Z6" s="46">
        <f t="shared" ref="Z6:Z12" si="5">Z5+(1/9)</f>
        <v>0.22222222222222221</v>
      </c>
      <c r="AA6" s="46">
        <f>AA5+(1/4)</f>
        <v>0.5</v>
      </c>
      <c r="AC6" s="44">
        <v>3</v>
      </c>
      <c r="AD6" s="46"/>
      <c r="AE6" s="46"/>
      <c r="AF6" s="46"/>
      <c r="AG6" s="46"/>
      <c r="AH6" s="46"/>
      <c r="AJ6" s="29" t="s">
        <v>484</v>
      </c>
      <c r="AK6" s="105">
        <v>5</v>
      </c>
      <c r="AL6" s="30">
        <v>10</v>
      </c>
      <c r="AO6">
        <v>3</v>
      </c>
      <c r="AP6" s="1" t="s">
        <v>500</v>
      </c>
      <c r="AR6" s="30">
        <v>20</v>
      </c>
      <c r="AT6" s="1"/>
      <c r="AU6" s="1"/>
    </row>
    <row r="7" spans="1:52" ht="15.95" customHeight="1" x14ac:dyDescent="0.25">
      <c r="A7" s="29" t="s">
        <v>44</v>
      </c>
      <c r="B7" s="31">
        <v>0.31111111111111112</v>
      </c>
      <c r="C7" s="31">
        <v>0.6875</v>
      </c>
      <c r="D7" s="48">
        <v>0.23958333333333334</v>
      </c>
      <c r="E7" s="48">
        <v>0.7597222222222223</v>
      </c>
      <c r="F7" s="48">
        <v>0.2638888888888889</v>
      </c>
      <c r="G7" s="48">
        <v>0.73541666666666661</v>
      </c>
      <c r="H7" s="48">
        <v>0.28888888888888892</v>
      </c>
      <c r="I7" s="48">
        <v>0.7104166666666667</v>
      </c>
      <c r="J7" s="31">
        <v>0.4993055555555555</v>
      </c>
      <c r="K7" s="30">
        <f>((K35-K4)/31)+K6</f>
        <v>32.580645161290327</v>
      </c>
      <c r="L7" s="30">
        <f>((L35-L4)/31)+L6</f>
        <v>31.806451612903221</v>
      </c>
      <c r="M7" s="90">
        <v>26.7741935483871</v>
      </c>
      <c r="N7" s="89">
        <f t="shared" si="0"/>
        <v>2.7258064516129035</v>
      </c>
      <c r="O7" s="106">
        <f t="shared" si="1"/>
        <v>45.516129032258057</v>
      </c>
      <c r="P7" s="108">
        <v>15.974193548387099</v>
      </c>
      <c r="Q7" s="108">
        <v>10.09677419354839</v>
      </c>
      <c r="R7" s="107">
        <v>22.903225806451616</v>
      </c>
      <c r="S7" s="41" t="s">
        <v>435</v>
      </c>
      <c r="T7" s="41" t="s">
        <v>436</v>
      </c>
      <c r="U7" s="33"/>
      <c r="V7" s="44">
        <v>4</v>
      </c>
      <c r="W7" s="46">
        <f t="shared" si="2"/>
        <v>0.125</v>
      </c>
      <c r="X7" s="46">
        <f t="shared" si="3"/>
        <v>0.2</v>
      </c>
      <c r="Y7" s="46">
        <f t="shared" si="4"/>
        <v>0.27272727272727271</v>
      </c>
      <c r="Z7" s="46">
        <f t="shared" si="5"/>
        <v>0.33333333333333331</v>
      </c>
      <c r="AA7" s="46">
        <f>AA6+(1/4)</f>
        <v>0.75</v>
      </c>
      <c r="AC7" s="44">
        <v>4</v>
      </c>
      <c r="AD7" s="46"/>
      <c r="AE7" s="46"/>
      <c r="AF7" s="46"/>
      <c r="AG7" s="46"/>
      <c r="AH7" s="46"/>
      <c r="AJ7" s="29" t="s">
        <v>485</v>
      </c>
      <c r="AK7" s="105">
        <v>5</v>
      </c>
      <c r="AL7" s="30">
        <v>5</v>
      </c>
      <c r="AO7">
        <v>4</v>
      </c>
      <c r="AP7" s="1" t="s">
        <v>500</v>
      </c>
      <c r="AR7" s="30">
        <v>20</v>
      </c>
      <c r="AT7" s="1"/>
      <c r="AU7" s="1"/>
    </row>
    <row r="8" spans="1:52" ht="15.95" customHeight="1" x14ac:dyDescent="0.25">
      <c r="A8" s="29" t="s">
        <v>45</v>
      </c>
      <c r="B8" s="31">
        <v>0.31111111111111112</v>
      </c>
      <c r="C8" s="31">
        <v>0.68819444444444444</v>
      </c>
      <c r="D8" s="48">
        <v>0.23958333333333334</v>
      </c>
      <c r="E8" s="48">
        <v>0.76041666666666663</v>
      </c>
      <c r="F8" s="48">
        <v>0.2638888888888889</v>
      </c>
      <c r="G8" s="48">
        <v>0.73611111111111116</v>
      </c>
      <c r="H8" s="48">
        <v>0.28888888888888892</v>
      </c>
      <c r="I8" s="48">
        <v>0.71111111111111114</v>
      </c>
      <c r="J8" s="31">
        <v>0.5</v>
      </c>
      <c r="K8" s="30">
        <f>((K35-K4)/31)+K7</f>
        <v>32.774193548387103</v>
      </c>
      <c r="L8" s="30">
        <f>((L35-L4)/31)+L7</f>
        <v>31.741935483870961</v>
      </c>
      <c r="M8" s="90">
        <v>26.832258064516132</v>
      </c>
      <c r="N8" s="89">
        <f t="shared" si="0"/>
        <v>2.7677419354838713</v>
      </c>
      <c r="O8" s="106">
        <f t="shared" si="1"/>
        <v>45.354838709677409</v>
      </c>
      <c r="P8" s="108">
        <v>16.032258064516132</v>
      </c>
      <c r="Q8" s="108">
        <v>10.12903225806452</v>
      </c>
      <c r="R8" s="107">
        <v>22.870967741935488</v>
      </c>
      <c r="S8" s="41" t="s">
        <v>435</v>
      </c>
      <c r="T8" s="41" t="s">
        <v>436</v>
      </c>
      <c r="U8" s="33"/>
      <c r="V8" s="44">
        <v>5</v>
      </c>
      <c r="W8" s="46">
        <f t="shared" si="2"/>
        <v>0.16666666666666666</v>
      </c>
      <c r="X8" s="46">
        <f t="shared" si="3"/>
        <v>0.26666666666666666</v>
      </c>
      <c r="Y8" s="46">
        <f t="shared" si="4"/>
        <v>0.36363636363636365</v>
      </c>
      <c r="Z8" s="46">
        <f t="shared" si="5"/>
        <v>0.44444444444444442</v>
      </c>
      <c r="AA8" s="46">
        <v>1</v>
      </c>
      <c r="AC8" s="44">
        <v>5</v>
      </c>
      <c r="AD8" s="46"/>
      <c r="AE8" s="46"/>
      <c r="AF8" s="46"/>
      <c r="AG8" s="46"/>
      <c r="AH8" s="46"/>
      <c r="AJ8" s="29" t="s">
        <v>486</v>
      </c>
      <c r="AK8" s="105">
        <v>0</v>
      </c>
      <c r="AL8" s="30">
        <v>0</v>
      </c>
      <c r="AO8">
        <v>5</v>
      </c>
      <c r="AP8" s="1" t="s">
        <v>500</v>
      </c>
      <c r="AR8" s="30">
        <v>20</v>
      </c>
      <c r="AT8" s="1"/>
      <c r="AU8" s="1"/>
    </row>
    <row r="9" spans="1:52" ht="15.95" customHeight="1" x14ac:dyDescent="0.25">
      <c r="A9" s="29" t="s">
        <v>46</v>
      </c>
      <c r="B9" s="31">
        <v>0.31111111111111112</v>
      </c>
      <c r="C9" s="31">
        <v>0.68888888888888899</v>
      </c>
      <c r="D9" s="48">
        <v>0.23958333333333334</v>
      </c>
      <c r="E9" s="48">
        <v>0.76041666666666663</v>
      </c>
      <c r="F9" s="48">
        <v>0.2638888888888889</v>
      </c>
      <c r="G9" s="48">
        <v>0.7368055555555556</v>
      </c>
      <c r="H9" s="48">
        <v>0.28888888888888892</v>
      </c>
      <c r="I9" s="48">
        <v>0.71180555555555547</v>
      </c>
      <c r="J9" s="31">
        <v>0.5</v>
      </c>
      <c r="K9" s="30">
        <f>((K35-K4)/31)+K8</f>
        <v>32.967741935483879</v>
      </c>
      <c r="L9" s="30">
        <f>((L35-L4)/31)+L8</f>
        <v>31.677419354838701</v>
      </c>
      <c r="M9" s="90">
        <v>26.890322580645165</v>
      </c>
      <c r="N9" s="89">
        <f t="shared" si="0"/>
        <v>2.8096774193548391</v>
      </c>
      <c r="O9" s="106">
        <f t="shared" si="1"/>
        <v>45.193548387096762</v>
      </c>
      <c r="P9" s="108">
        <v>16.090322580645164</v>
      </c>
      <c r="Q9" s="108">
        <v>10.161290322580649</v>
      </c>
      <c r="R9" s="107">
        <v>22.838709677419359</v>
      </c>
      <c r="S9" s="41" t="s">
        <v>435</v>
      </c>
      <c r="T9" s="41" t="s">
        <v>436</v>
      </c>
      <c r="U9" s="33"/>
      <c r="V9" s="44">
        <v>6</v>
      </c>
      <c r="W9" s="46">
        <f t="shared" si="2"/>
        <v>0.20833333333333331</v>
      </c>
      <c r="X9" s="46">
        <f t="shared" si="3"/>
        <v>0.33333333333333331</v>
      </c>
      <c r="Y9" s="46">
        <f t="shared" si="4"/>
        <v>0.45454545454545459</v>
      </c>
      <c r="Z9" s="46">
        <f t="shared" si="5"/>
        <v>0.55555555555555558</v>
      </c>
      <c r="AA9" s="46">
        <f>AA8+(1/5)</f>
        <v>1.2</v>
      </c>
      <c r="AC9" s="44">
        <v>6</v>
      </c>
      <c r="AD9" s="46"/>
      <c r="AE9" s="46"/>
      <c r="AF9" s="46"/>
      <c r="AG9" s="46"/>
      <c r="AH9" s="46"/>
      <c r="AJ9" s="29" t="s">
        <v>487</v>
      </c>
      <c r="AK9" s="105"/>
      <c r="AL9" s="30">
        <v>-30</v>
      </c>
      <c r="AO9">
        <v>6</v>
      </c>
      <c r="AP9" s="1" t="s">
        <v>510</v>
      </c>
      <c r="AR9" s="30">
        <v>25</v>
      </c>
      <c r="AT9" s="1"/>
      <c r="AU9" s="1"/>
    </row>
    <row r="10" spans="1:52" ht="15.95" customHeight="1" x14ac:dyDescent="0.25">
      <c r="A10" s="29" t="s">
        <v>47</v>
      </c>
      <c r="B10" s="31">
        <v>0.31111111111111112</v>
      </c>
      <c r="C10" s="31">
        <v>0.68958333333333333</v>
      </c>
      <c r="D10" s="48">
        <v>0.23958333333333334</v>
      </c>
      <c r="E10" s="48">
        <v>0.76111111111111107</v>
      </c>
      <c r="F10" s="48">
        <v>0.2638888888888889</v>
      </c>
      <c r="G10" s="48">
        <v>0.73749999999999993</v>
      </c>
      <c r="H10" s="48">
        <v>0.28888888888888892</v>
      </c>
      <c r="I10" s="48">
        <v>0.71250000000000002</v>
      </c>
      <c r="J10" s="31">
        <v>0.5</v>
      </c>
      <c r="K10" s="30">
        <f>((K35-K4)/31)+K9</f>
        <v>33.161290322580655</v>
      </c>
      <c r="L10" s="30">
        <f>((L35-L4)/31)+L9</f>
        <v>31.612903225806441</v>
      </c>
      <c r="M10" s="90">
        <v>26.948387096774198</v>
      </c>
      <c r="N10" s="89">
        <f t="shared" si="0"/>
        <v>2.8516129032258068</v>
      </c>
      <c r="O10" s="106">
        <f t="shared" si="1"/>
        <v>45.032258064516114</v>
      </c>
      <c r="P10" s="108">
        <v>16.148387096774197</v>
      </c>
      <c r="Q10" s="108">
        <v>10.193548387096779</v>
      </c>
      <c r="R10" s="107">
        <v>22.806451612903231</v>
      </c>
      <c r="S10" s="41" t="s">
        <v>435</v>
      </c>
      <c r="T10" s="41" t="s">
        <v>436</v>
      </c>
      <c r="U10" s="33"/>
      <c r="V10" s="44">
        <v>7</v>
      </c>
      <c r="W10" s="46">
        <f t="shared" si="2"/>
        <v>0.24999999999999997</v>
      </c>
      <c r="X10" s="46">
        <f t="shared" si="3"/>
        <v>0.39999999999999997</v>
      </c>
      <c r="Y10" s="46">
        <f t="shared" si="4"/>
        <v>0.54545454545454553</v>
      </c>
      <c r="Z10" s="46">
        <f t="shared" si="5"/>
        <v>0.66666666666666674</v>
      </c>
      <c r="AA10" s="46">
        <f t="shared" ref="AA10:AA74" si="6">AA9+(1/5)</f>
        <v>1.4</v>
      </c>
      <c r="AC10" s="44">
        <v>7</v>
      </c>
      <c r="AD10" s="46"/>
      <c r="AE10" s="46"/>
      <c r="AF10" s="46"/>
      <c r="AG10" s="46"/>
      <c r="AH10" s="46"/>
      <c r="AJ10" s="29" t="s">
        <v>488</v>
      </c>
      <c r="AK10" s="105"/>
      <c r="AL10" s="30">
        <v>0</v>
      </c>
      <c r="AO10">
        <v>7</v>
      </c>
      <c r="AP10" s="1" t="s">
        <v>510</v>
      </c>
      <c r="AR10" s="30">
        <v>25</v>
      </c>
      <c r="AT10" s="1"/>
      <c r="AU10" s="1"/>
    </row>
    <row r="11" spans="1:52" ht="15.95" customHeight="1" x14ac:dyDescent="0.25">
      <c r="A11" s="29" t="s">
        <v>48</v>
      </c>
      <c r="B11" s="31">
        <v>0.31111111111111112</v>
      </c>
      <c r="C11" s="31">
        <v>0.69027777777777777</v>
      </c>
      <c r="D11" s="48">
        <v>0.23958333333333334</v>
      </c>
      <c r="E11" s="48">
        <v>0.76180555555555562</v>
      </c>
      <c r="F11" s="48">
        <v>0.2638888888888889</v>
      </c>
      <c r="G11" s="48">
        <v>0.73819444444444438</v>
      </c>
      <c r="H11" s="48">
        <v>0.28819444444444448</v>
      </c>
      <c r="I11" s="48">
        <v>0.71319444444444446</v>
      </c>
      <c r="J11" s="31">
        <v>0.50069444444444444</v>
      </c>
      <c r="K11" s="30">
        <f>((K35-K4)/31)+K10</f>
        <v>33.354838709677431</v>
      </c>
      <c r="L11" s="30">
        <f>((L35-L4)/31)+L10</f>
        <v>31.548387096774182</v>
      </c>
      <c r="M11" s="90">
        <v>27.006451612903231</v>
      </c>
      <c r="N11" s="89">
        <f t="shared" si="0"/>
        <v>2.8935483870967746</v>
      </c>
      <c r="O11" s="106">
        <f t="shared" si="1"/>
        <v>44.870967741935466</v>
      </c>
      <c r="P11" s="108">
        <v>16.20645161290323</v>
      </c>
      <c r="Q11" s="108">
        <v>10.225806451612909</v>
      </c>
      <c r="R11" s="107">
        <v>22.774193548387103</v>
      </c>
      <c r="S11" s="41" t="s">
        <v>435</v>
      </c>
      <c r="T11" s="41" t="s">
        <v>436</v>
      </c>
      <c r="U11" s="33"/>
      <c r="V11" s="44">
        <v>8</v>
      </c>
      <c r="W11" s="46">
        <f t="shared" si="2"/>
        <v>0.29166666666666663</v>
      </c>
      <c r="X11" s="46">
        <f t="shared" si="3"/>
        <v>0.46666666666666662</v>
      </c>
      <c r="Y11" s="46">
        <f t="shared" si="4"/>
        <v>0.63636363636363646</v>
      </c>
      <c r="Z11" s="46">
        <f t="shared" si="5"/>
        <v>0.7777777777777779</v>
      </c>
      <c r="AA11" s="46">
        <f t="shared" si="6"/>
        <v>1.5999999999999999</v>
      </c>
      <c r="AC11" s="44">
        <v>8</v>
      </c>
      <c r="AD11" s="46"/>
      <c r="AE11" s="46"/>
      <c r="AF11" s="46"/>
      <c r="AG11" s="46"/>
      <c r="AH11" s="46"/>
      <c r="AJ11" s="29" t="s">
        <v>489</v>
      </c>
      <c r="AK11" s="105"/>
      <c r="AL11" s="30">
        <v>5</v>
      </c>
      <c r="AO11">
        <v>8</v>
      </c>
      <c r="AP11" s="1" t="s">
        <v>510</v>
      </c>
      <c r="AR11" s="30">
        <v>25</v>
      </c>
      <c r="AT11" s="1"/>
      <c r="AU11" s="1"/>
    </row>
    <row r="12" spans="1:52" ht="15.95" customHeight="1" x14ac:dyDescent="0.25">
      <c r="A12" s="29" t="s">
        <v>49</v>
      </c>
      <c r="B12" s="31">
        <v>0.31111111111111112</v>
      </c>
      <c r="C12" s="31">
        <v>0.69097222222222221</v>
      </c>
      <c r="D12" s="48">
        <v>0.23958333333333334</v>
      </c>
      <c r="E12" s="48">
        <v>0.76250000000000007</v>
      </c>
      <c r="F12" s="48">
        <v>0.26319444444444445</v>
      </c>
      <c r="G12" s="48">
        <v>0.73888888888888893</v>
      </c>
      <c r="H12" s="48">
        <v>0.28819444444444448</v>
      </c>
      <c r="I12" s="48">
        <v>0.71388888888888891</v>
      </c>
      <c r="J12" s="31">
        <v>0.50069444444444444</v>
      </c>
      <c r="K12" s="30">
        <f>((K35-K4)/31)+K11</f>
        <v>33.548387096774206</v>
      </c>
      <c r="L12" s="30">
        <f>((L35-L4)/31)+L11</f>
        <v>31.483870967741922</v>
      </c>
      <c r="M12" s="90">
        <v>27.064516129032263</v>
      </c>
      <c r="N12" s="89">
        <f t="shared" si="0"/>
        <v>2.9354838709677424</v>
      </c>
      <c r="O12" s="106">
        <f t="shared" si="1"/>
        <v>44.709677419354819</v>
      </c>
      <c r="P12" s="108">
        <v>16.264516129032263</v>
      </c>
      <c r="Q12" s="108">
        <v>10.258064516129039</v>
      </c>
      <c r="R12" s="107">
        <v>22.741935483870975</v>
      </c>
      <c r="S12" s="41" t="s">
        <v>435</v>
      </c>
      <c r="T12" s="41" t="s">
        <v>436</v>
      </c>
      <c r="U12" s="33"/>
      <c r="V12" s="44">
        <v>9</v>
      </c>
      <c r="W12" s="46">
        <f t="shared" si="2"/>
        <v>0.33333333333333331</v>
      </c>
      <c r="X12" s="46">
        <f t="shared" si="3"/>
        <v>0.53333333333333333</v>
      </c>
      <c r="Y12" s="46">
        <f t="shared" si="4"/>
        <v>0.7272727272727274</v>
      </c>
      <c r="Z12" s="46">
        <f t="shared" si="5"/>
        <v>0.88888888888888906</v>
      </c>
      <c r="AA12" s="46">
        <f t="shared" si="6"/>
        <v>1.7999999999999998</v>
      </c>
      <c r="AC12" s="44">
        <v>9</v>
      </c>
      <c r="AD12" s="46"/>
      <c r="AE12" s="46"/>
      <c r="AF12" s="46"/>
      <c r="AG12" s="46"/>
      <c r="AH12" s="46"/>
      <c r="AJ12" s="29" t="s">
        <v>490</v>
      </c>
      <c r="AK12" s="105"/>
      <c r="AL12" s="30">
        <v>15</v>
      </c>
      <c r="AO12">
        <v>9</v>
      </c>
      <c r="AP12" s="1" t="s">
        <v>510</v>
      </c>
      <c r="AR12" s="30">
        <v>25</v>
      </c>
      <c r="AT12" s="1"/>
      <c r="AU12" s="1"/>
    </row>
    <row r="13" spans="1:52" ht="15.95" customHeight="1" x14ac:dyDescent="0.25">
      <c r="A13" s="29" t="s">
        <v>50</v>
      </c>
      <c r="B13" s="31">
        <v>0.31041666666666667</v>
      </c>
      <c r="C13" s="31">
        <v>0.69166666666666599</v>
      </c>
      <c r="D13" s="48">
        <v>0.23958333333333334</v>
      </c>
      <c r="E13" s="48">
        <v>0.7631944444444444</v>
      </c>
      <c r="F13" s="48">
        <v>0.26319444444444445</v>
      </c>
      <c r="G13" s="48">
        <v>0.73958333333333337</v>
      </c>
      <c r="H13" s="48">
        <v>0.28819444444444448</v>
      </c>
      <c r="I13" s="48">
        <v>0.71458333333333324</v>
      </c>
      <c r="J13" s="31">
        <v>0.50138888888888888</v>
      </c>
      <c r="K13" s="30">
        <f>((K35-K4)/31)+K12</f>
        <v>33.741935483870982</v>
      </c>
      <c r="L13" s="30">
        <f>((L35-L4)/31)+L12</f>
        <v>31.419354838709662</v>
      </c>
      <c r="M13" s="90">
        <v>27.122580645161296</v>
      </c>
      <c r="N13" s="89">
        <f t="shared" si="0"/>
        <v>2.9774193548387102</v>
      </c>
      <c r="O13" s="106">
        <f t="shared" si="1"/>
        <v>44.548387096774171</v>
      </c>
      <c r="P13" s="108">
        <v>16.322580645161295</v>
      </c>
      <c r="Q13" s="108">
        <v>10.290322580645169</v>
      </c>
      <c r="R13" s="107">
        <v>22.709677419354847</v>
      </c>
      <c r="S13" s="41" t="s">
        <v>435</v>
      </c>
      <c r="T13" s="41" t="s">
        <v>436</v>
      </c>
      <c r="U13" s="33"/>
      <c r="V13" s="44">
        <v>10</v>
      </c>
      <c r="W13" s="46">
        <f t="shared" si="2"/>
        <v>0.375</v>
      </c>
      <c r="X13" s="46">
        <f t="shared" si="3"/>
        <v>0.6</v>
      </c>
      <c r="Y13" s="46">
        <f t="shared" si="4"/>
        <v>0.81818181818181834</v>
      </c>
      <c r="Z13" s="46">
        <v>1</v>
      </c>
      <c r="AA13" s="46">
        <v>2</v>
      </c>
      <c r="AC13" s="44">
        <v>10</v>
      </c>
      <c r="AD13" s="46"/>
      <c r="AE13" s="46"/>
      <c r="AF13" s="46"/>
      <c r="AG13" s="46"/>
      <c r="AH13" s="46"/>
      <c r="AO13">
        <v>10</v>
      </c>
      <c r="AP13" s="1" t="s">
        <v>510</v>
      </c>
      <c r="AR13" s="30">
        <v>25</v>
      </c>
      <c r="AT13" s="1"/>
      <c r="AU13" s="1"/>
    </row>
    <row r="14" spans="1:52" ht="15.95" customHeight="1" x14ac:dyDescent="0.25">
      <c r="A14" s="29" t="s">
        <v>51</v>
      </c>
      <c r="B14" s="31">
        <v>0.31041666666666667</v>
      </c>
      <c r="C14" s="31">
        <v>0.69236111111111098</v>
      </c>
      <c r="D14" s="48">
        <v>0.2388888888888889</v>
      </c>
      <c r="E14" s="48">
        <v>0.76388888888888884</v>
      </c>
      <c r="F14" s="48">
        <v>0.26319444444444445</v>
      </c>
      <c r="G14" s="48">
        <v>0.7402777777777777</v>
      </c>
      <c r="H14" s="48">
        <v>0.28819444444444448</v>
      </c>
      <c r="I14" s="48">
        <v>0.71527777777777779</v>
      </c>
      <c r="J14" s="31">
        <v>0.50138888888888888</v>
      </c>
      <c r="K14" s="30">
        <f>((K35-K4)/31)+K13</f>
        <v>33.935483870967758</v>
      </c>
      <c r="L14" s="30">
        <f>((L35-L4)/31)+L13</f>
        <v>31.354838709677402</v>
      </c>
      <c r="M14" s="90">
        <v>27.180645161290329</v>
      </c>
      <c r="N14" s="89">
        <f t="shared" si="0"/>
        <v>3.019354838709678</v>
      </c>
      <c r="O14" s="106">
        <f t="shared" si="1"/>
        <v>44.387096774193523</v>
      </c>
      <c r="P14" s="108">
        <v>16.380645161290328</v>
      </c>
      <c r="Q14" s="108">
        <v>10.322580645161299</v>
      </c>
      <c r="R14" s="107">
        <v>22.677419354838719</v>
      </c>
      <c r="S14" s="41" t="s">
        <v>435</v>
      </c>
      <c r="T14" s="41" t="s">
        <v>436</v>
      </c>
      <c r="U14" s="33"/>
      <c r="V14" s="44">
        <v>11</v>
      </c>
      <c r="W14" s="46">
        <f t="shared" si="2"/>
        <v>0.41666666666666669</v>
      </c>
      <c r="X14" s="46">
        <f t="shared" si="3"/>
        <v>0.66666666666666663</v>
      </c>
      <c r="Y14" s="46">
        <f t="shared" si="4"/>
        <v>0.90909090909090928</v>
      </c>
      <c r="Z14" s="46">
        <f>Z13+(1/10)</f>
        <v>1.1000000000000001</v>
      </c>
      <c r="AA14" s="46">
        <f t="shared" si="6"/>
        <v>2.2000000000000002</v>
      </c>
      <c r="AC14" s="44">
        <v>11</v>
      </c>
      <c r="AD14" s="46"/>
      <c r="AE14" s="46"/>
      <c r="AF14" s="46"/>
      <c r="AG14" s="46"/>
      <c r="AH14" s="46"/>
      <c r="AO14">
        <v>11</v>
      </c>
      <c r="AP14" s="1" t="s">
        <v>504</v>
      </c>
      <c r="AR14" s="30">
        <v>35</v>
      </c>
      <c r="AT14" s="1"/>
      <c r="AU14" s="1"/>
    </row>
    <row r="15" spans="1:52" ht="15.95" customHeight="1" x14ac:dyDescent="0.25">
      <c r="A15" s="29" t="s">
        <v>52</v>
      </c>
      <c r="B15" s="31">
        <v>0.31041666666666667</v>
      </c>
      <c r="C15" s="31">
        <v>0.69374999999999998</v>
      </c>
      <c r="D15" s="48">
        <v>0.2388888888888889</v>
      </c>
      <c r="E15" s="48">
        <v>0.76458333333333339</v>
      </c>
      <c r="F15" s="48">
        <v>0.26319444444444445</v>
      </c>
      <c r="G15" s="48">
        <v>0.74097222222222225</v>
      </c>
      <c r="H15" s="48">
        <v>0.28819444444444448</v>
      </c>
      <c r="I15" s="48">
        <v>0.71597222222222223</v>
      </c>
      <c r="J15" s="31">
        <v>0.50208333333333333</v>
      </c>
      <c r="K15" s="30">
        <f>((K35-K4)/31)+K14</f>
        <v>34.129032258064534</v>
      </c>
      <c r="L15" s="30">
        <f>((L35-L4)/31)+L14</f>
        <v>31.290322580645142</v>
      </c>
      <c r="M15" s="90">
        <v>27.238709677419362</v>
      </c>
      <c r="N15" s="89">
        <f t="shared" si="0"/>
        <v>3.0612903225806458</v>
      </c>
      <c r="O15" s="106">
        <f t="shared" si="1"/>
        <v>44.225806451612875</v>
      </c>
      <c r="P15" s="108">
        <v>16.438709677419361</v>
      </c>
      <c r="Q15" s="108">
        <v>10.354838709677429</v>
      </c>
      <c r="R15" s="107">
        <v>22.645161290322591</v>
      </c>
      <c r="S15" s="41" t="s">
        <v>435</v>
      </c>
      <c r="T15" s="41" t="s">
        <v>436</v>
      </c>
      <c r="U15" s="33"/>
      <c r="V15" s="44">
        <v>12</v>
      </c>
      <c r="W15" s="46">
        <f t="shared" si="2"/>
        <v>0.45833333333333337</v>
      </c>
      <c r="X15" s="46">
        <f t="shared" si="3"/>
        <v>0.73333333333333328</v>
      </c>
      <c r="Y15" s="46">
        <v>1</v>
      </c>
      <c r="Z15" s="46">
        <f t="shared" ref="Z15:Z78" si="7">Z14+(1/10)</f>
        <v>1.2000000000000002</v>
      </c>
      <c r="AA15" s="46">
        <f t="shared" si="6"/>
        <v>2.4000000000000004</v>
      </c>
      <c r="AC15" s="44">
        <v>12</v>
      </c>
      <c r="AD15" s="46"/>
      <c r="AE15" s="46"/>
      <c r="AF15" s="46"/>
      <c r="AG15" s="46"/>
      <c r="AH15" s="46"/>
      <c r="AO15">
        <v>12</v>
      </c>
      <c r="AP15" s="1" t="s">
        <v>504</v>
      </c>
      <c r="AR15" s="30">
        <v>35</v>
      </c>
      <c r="AT15" s="1"/>
      <c r="AU15" s="1"/>
    </row>
    <row r="16" spans="1:52" ht="15.95" customHeight="1" x14ac:dyDescent="0.25">
      <c r="A16" s="29" t="s">
        <v>53</v>
      </c>
      <c r="B16" s="31">
        <v>0.30972222222222223</v>
      </c>
      <c r="C16" s="31">
        <v>0.69444444444444453</v>
      </c>
      <c r="D16" s="48">
        <v>0.2388888888888889</v>
      </c>
      <c r="E16" s="48">
        <v>0.76527777777777783</v>
      </c>
      <c r="F16" s="48">
        <v>0.26319444444444445</v>
      </c>
      <c r="G16" s="48">
        <v>0.7416666666666667</v>
      </c>
      <c r="H16" s="48">
        <v>0.28750000000000003</v>
      </c>
      <c r="I16" s="48">
        <v>0.71666666666666667</v>
      </c>
      <c r="J16" s="31">
        <v>0.50208333333333333</v>
      </c>
      <c r="K16" s="30">
        <f>((K35-K4)/31)+K15</f>
        <v>34.32258064516131</v>
      </c>
      <c r="L16" s="30">
        <f>((L35-L4)/31)+L15</f>
        <v>31.225806451612883</v>
      </c>
      <c r="M16" s="90">
        <v>27.296774193548394</v>
      </c>
      <c r="N16" s="89">
        <f t="shared" si="0"/>
        <v>3.1032258064516136</v>
      </c>
      <c r="O16" s="106">
        <f t="shared" si="1"/>
        <v>44.064516129032228</v>
      </c>
      <c r="P16" s="108">
        <v>16.496774193548394</v>
      </c>
      <c r="Q16" s="108">
        <v>10.387096774193559</v>
      </c>
      <c r="R16" s="107">
        <v>22.612903225806463</v>
      </c>
      <c r="S16" s="41" t="s">
        <v>435</v>
      </c>
      <c r="T16" s="41" t="s">
        <v>436</v>
      </c>
      <c r="U16" s="33"/>
      <c r="V16" s="44">
        <v>13</v>
      </c>
      <c r="W16" s="46">
        <f t="shared" si="2"/>
        <v>0.5</v>
      </c>
      <c r="X16" s="46">
        <f t="shared" si="3"/>
        <v>0.79999999999999993</v>
      </c>
      <c r="Y16" s="46">
        <f>Y15+(1/12)</f>
        <v>1.0833333333333333</v>
      </c>
      <c r="Z16" s="46">
        <f t="shared" si="7"/>
        <v>1.3000000000000003</v>
      </c>
      <c r="AA16" s="46">
        <f t="shared" si="6"/>
        <v>2.6000000000000005</v>
      </c>
      <c r="AC16" s="44">
        <v>13</v>
      </c>
      <c r="AD16" s="46"/>
      <c r="AE16" s="46"/>
      <c r="AF16" s="46"/>
      <c r="AG16" s="46"/>
      <c r="AH16" s="46"/>
      <c r="AO16">
        <v>13</v>
      </c>
      <c r="AP16" s="1" t="s">
        <v>504</v>
      </c>
      <c r="AR16" s="30">
        <v>35</v>
      </c>
      <c r="AT16" s="1"/>
      <c r="AU16" s="1"/>
    </row>
    <row r="17" spans="1:47" ht="15.95" customHeight="1" x14ac:dyDescent="0.25">
      <c r="A17" s="29" t="s">
        <v>54</v>
      </c>
      <c r="B17" s="31">
        <v>0.30972222222222223</v>
      </c>
      <c r="C17" s="31">
        <v>0.69513888888888897</v>
      </c>
      <c r="D17" s="48">
        <v>0.2388888888888889</v>
      </c>
      <c r="E17" s="48">
        <v>0.76597222222222217</v>
      </c>
      <c r="F17" s="48">
        <v>0.26250000000000001</v>
      </c>
      <c r="G17" s="48">
        <v>0.74236111111111114</v>
      </c>
      <c r="H17" s="48">
        <v>0.28750000000000003</v>
      </c>
      <c r="I17" s="48">
        <v>0.71736111111111101</v>
      </c>
      <c r="J17" s="31">
        <v>0.50208333333333333</v>
      </c>
      <c r="K17" s="30">
        <f>((K35-K4)/31)+K16</f>
        <v>34.516129032258085</v>
      </c>
      <c r="L17" s="30">
        <f>((L35-L4)/31)+L16</f>
        <v>31.161290322580623</v>
      </c>
      <c r="M17" s="90">
        <v>27.354838709677427</v>
      </c>
      <c r="N17" s="89">
        <f t="shared" si="0"/>
        <v>3.1451612903225814</v>
      </c>
      <c r="O17" s="106">
        <f t="shared" si="1"/>
        <v>43.90322580645158</v>
      </c>
      <c r="P17" s="108">
        <v>16.554838709677426</v>
      </c>
      <c r="Q17" s="108">
        <v>10.419354838709689</v>
      </c>
      <c r="R17" s="107">
        <v>22.580645161290334</v>
      </c>
      <c r="S17" s="41" t="s">
        <v>435</v>
      </c>
      <c r="T17" s="41" t="s">
        <v>436</v>
      </c>
      <c r="U17" s="33"/>
      <c r="V17" s="44">
        <v>14</v>
      </c>
      <c r="W17" s="46">
        <f t="shared" si="2"/>
        <v>0.54166666666666663</v>
      </c>
      <c r="X17" s="46">
        <f t="shared" si="3"/>
        <v>0.86666666666666659</v>
      </c>
      <c r="Y17" s="46">
        <f t="shared" ref="Y17:Y80" si="8">Y16+(1/12)</f>
        <v>1.1666666666666665</v>
      </c>
      <c r="Z17" s="46">
        <f t="shared" si="7"/>
        <v>1.4000000000000004</v>
      </c>
      <c r="AA17" s="46">
        <f t="shared" si="6"/>
        <v>2.8000000000000007</v>
      </c>
      <c r="AC17" s="44">
        <v>14</v>
      </c>
      <c r="AD17" s="46"/>
      <c r="AE17" s="46"/>
      <c r="AF17" s="46"/>
      <c r="AG17" s="46"/>
      <c r="AH17" s="46"/>
      <c r="AO17">
        <v>14</v>
      </c>
      <c r="AP17" s="1" t="s">
        <v>504</v>
      </c>
      <c r="AR17" s="30">
        <v>35</v>
      </c>
      <c r="AT17" s="1"/>
      <c r="AU17" s="1"/>
    </row>
    <row r="18" spans="1:47" ht="15.95" customHeight="1" x14ac:dyDescent="0.25">
      <c r="A18" s="29" t="s">
        <v>55</v>
      </c>
      <c r="B18" s="31">
        <v>0.30902777777777779</v>
      </c>
      <c r="C18" s="31">
        <v>0.69583333333333397</v>
      </c>
      <c r="D18" s="48">
        <v>0.23819444444444446</v>
      </c>
      <c r="E18" s="48">
        <v>0.76666666666666661</v>
      </c>
      <c r="F18" s="48">
        <v>0.26250000000000001</v>
      </c>
      <c r="G18" s="48">
        <v>0.74305555555555547</v>
      </c>
      <c r="H18" s="48">
        <v>0.28680555555555554</v>
      </c>
      <c r="I18" s="48">
        <v>0.71805555555555556</v>
      </c>
      <c r="J18" s="31">
        <v>0.50277777777777777</v>
      </c>
      <c r="K18" s="30">
        <f>((K35-K4)/31)+K17</f>
        <v>34.709677419354861</v>
      </c>
      <c r="L18" s="30">
        <f>((L35-L4)/31)+L17</f>
        <v>31.096774193548363</v>
      </c>
      <c r="M18" s="90">
        <v>27.41290322580646</v>
      </c>
      <c r="N18" s="89">
        <f t="shared" si="0"/>
        <v>3.1870967741935492</v>
      </c>
      <c r="O18" s="106">
        <f t="shared" si="1"/>
        <v>43.741935483870932</v>
      </c>
      <c r="P18" s="108">
        <v>16.612903225806459</v>
      </c>
      <c r="Q18" s="108">
        <v>10.451612903225818</v>
      </c>
      <c r="R18" s="107">
        <v>22.548387096774206</v>
      </c>
      <c r="S18" s="41" t="s">
        <v>435</v>
      </c>
      <c r="T18" s="41" t="s">
        <v>436</v>
      </c>
      <c r="U18" s="33"/>
      <c r="V18" s="44">
        <v>15</v>
      </c>
      <c r="W18" s="46">
        <f t="shared" si="2"/>
        <v>0.58333333333333326</v>
      </c>
      <c r="X18" s="46">
        <f t="shared" si="3"/>
        <v>0.93333333333333324</v>
      </c>
      <c r="Y18" s="46">
        <f t="shared" si="8"/>
        <v>1.2499999999999998</v>
      </c>
      <c r="Z18" s="46">
        <f t="shared" si="7"/>
        <v>1.5000000000000004</v>
      </c>
      <c r="AA18" s="46">
        <v>3</v>
      </c>
      <c r="AC18" s="44">
        <v>15</v>
      </c>
      <c r="AD18" s="46"/>
      <c r="AE18" s="46"/>
      <c r="AF18" s="46"/>
      <c r="AG18" s="46"/>
      <c r="AH18" s="46"/>
      <c r="AO18">
        <v>15</v>
      </c>
      <c r="AP18" s="1" t="s">
        <v>504</v>
      </c>
      <c r="AR18" s="30">
        <v>35</v>
      </c>
      <c r="AT18" s="1"/>
      <c r="AU18" s="1"/>
    </row>
    <row r="19" spans="1:47" ht="15.95" customHeight="1" x14ac:dyDescent="0.25">
      <c r="A19" s="29" t="s">
        <v>56</v>
      </c>
      <c r="B19" s="31">
        <v>0.30902777777777779</v>
      </c>
      <c r="C19" s="31">
        <v>0.69652777777777797</v>
      </c>
      <c r="D19" s="48">
        <v>0.23819444444444446</v>
      </c>
      <c r="E19" s="48">
        <v>0.76736111111111116</v>
      </c>
      <c r="F19" s="48">
        <v>0.26180555555555557</v>
      </c>
      <c r="G19" s="48">
        <v>0.74375000000000002</v>
      </c>
      <c r="H19" s="48">
        <v>0.28680555555555554</v>
      </c>
      <c r="I19" s="48">
        <v>0.71875</v>
      </c>
      <c r="J19" s="31">
        <v>0.50277777777777777</v>
      </c>
      <c r="K19" s="30">
        <f>((K35-K4)/31)+K18</f>
        <v>34.903225806451637</v>
      </c>
      <c r="L19" s="30">
        <f>((L35-L4)/31)+L18</f>
        <v>31.032258064516103</v>
      </c>
      <c r="M19" s="90">
        <v>27.470967741935493</v>
      </c>
      <c r="N19" s="89">
        <f t="shared" si="0"/>
        <v>3.229032258064517</v>
      </c>
      <c r="O19" s="106">
        <f t="shared" si="1"/>
        <v>43.580645161290285</v>
      </c>
      <c r="P19" s="108">
        <v>16.670967741935492</v>
      </c>
      <c r="Q19" s="108">
        <v>10.483870967741948</v>
      </c>
      <c r="R19" s="107">
        <v>22.516129032258078</v>
      </c>
      <c r="S19" s="41" t="s">
        <v>435</v>
      </c>
      <c r="T19" s="41" t="s">
        <v>436</v>
      </c>
      <c r="U19" s="33"/>
      <c r="V19" s="44">
        <v>16</v>
      </c>
      <c r="W19" s="46">
        <f t="shared" si="2"/>
        <v>0.62499999999999989</v>
      </c>
      <c r="X19" s="46">
        <v>1</v>
      </c>
      <c r="Y19" s="46">
        <f t="shared" si="8"/>
        <v>1.333333333333333</v>
      </c>
      <c r="Z19" s="46">
        <f t="shared" si="7"/>
        <v>1.6000000000000005</v>
      </c>
      <c r="AA19" s="46">
        <f t="shared" si="6"/>
        <v>3.2</v>
      </c>
      <c r="AC19" s="44">
        <v>16</v>
      </c>
      <c r="AD19" s="46"/>
      <c r="AE19" s="46"/>
      <c r="AF19" s="46"/>
      <c r="AG19" s="46"/>
      <c r="AH19" s="46"/>
      <c r="AO19">
        <v>16</v>
      </c>
      <c r="AP19" s="1" t="s">
        <v>504</v>
      </c>
      <c r="AR19" s="30">
        <v>35</v>
      </c>
      <c r="AT19" s="1"/>
      <c r="AU19" s="1"/>
    </row>
    <row r="20" spans="1:47" ht="15.95" customHeight="1" x14ac:dyDescent="0.25">
      <c r="A20" s="29" t="s">
        <v>57</v>
      </c>
      <c r="B20" s="31">
        <v>0.30833333333333335</v>
      </c>
      <c r="C20" s="31">
        <v>0.69791666666666663</v>
      </c>
      <c r="D20" s="48">
        <v>0.23819444444444446</v>
      </c>
      <c r="E20" s="48">
        <v>0.7680555555555556</v>
      </c>
      <c r="F20" s="48">
        <v>0.26180555555555557</v>
      </c>
      <c r="G20" s="48">
        <v>0.74444444444444446</v>
      </c>
      <c r="H20" s="48">
        <v>0.28680555555555554</v>
      </c>
      <c r="I20" s="48">
        <v>0.71944444444444444</v>
      </c>
      <c r="J20" s="31">
        <v>0.50277777777777777</v>
      </c>
      <c r="K20" s="30">
        <f>((K35-K4)/31)+K19</f>
        <v>35.096774193548413</v>
      </c>
      <c r="L20" s="30">
        <f>((L35-L4)/31)+L19</f>
        <v>30.967741935483843</v>
      </c>
      <c r="M20" s="90">
        <v>27.529032258064525</v>
      </c>
      <c r="N20" s="89">
        <f t="shared" si="0"/>
        <v>3.2709677419354848</v>
      </c>
      <c r="O20" s="106">
        <f t="shared" si="1"/>
        <v>43.419354838709637</v>
      </c>
      <c r="P20" s="108">
        <v>16.729032258064525</v>
      </c>
      <c r="Q20" s="108">
        <v>10.516129032258078</v>
      </c>
      <c r="R20" s="107">
        <v>22.48387096774195</v>
      </c>
      <c r="S20" s="41" t="s">
        <v>435</v>
      </c>
      <c r="T20" s="41" t="s">
        <v>436</v>
      </c>
      <c r="U20" s="33"/>
      <c r="V20" s="44">
        <v>17</v>
      </c>
      <c r="W20" s="46">
        <f t="shared" si="2"/>
        <v>0.66666666666666652</v>
      </c>
      <c r="X20" s="46">
        <f>X19+(1/16)</f>
        <v>1.0625</v>
      </c>
      <c r="Y20" s="46">
        <f t="shared" si="8"/>
        <v>1.4166666666666663</v>
      </c>
      <c r="Z20" s="46">
        <f t="shared" si="7"/>
        <v>1.7000000000000006</v>
      </c>
      <c r="AA20" s="46">
        <f t="shared" si="6"/>
        <v>3.4000000000000004</v>
      </c>
      <c r="AC20" s="44">
        <v>17</v>
      </c>
      <c r="AD20" s="46"/>
      <c r="AE20" s="46"/>
      <c r="AF20" s="46"/>
      <c r="AG20" s="46"/>
      <c r="AH20" s="46"/>
      <c r="AO20">
        <v>17</v>
      </c>
      <c r="AP20" s="1" t="s">
        <v>504</v>
      </c>
      <c r="AR20" s="30">
        <v>35</v>
      </c>
      <c r="AT20" s="1"/>
      <c r="AU20" s="1"/>
    </row>
    <row r="21" spans="1:47" ht="15.95" customHeight="1" x14ac:dyDescent="0.25">
      <c r="A21" s="29" t="s">
        <v>58</v>
      </c>
      <c r="B21" s="31">
        <v>0.30833333333333335</v>
      </c>
      <c r="C21" s="31">
        <v>0.69861111111111107</v>
      </c>
      <c r="D21" s="48">
        <v>0.23750000000000002</v>
      </c>
      <c r="E21" s="48">
        <v>0.76874999999999993</v>
      </c>
      <c r="F21" s="48">
        <v>0.26180555555555557</v>
      </c>
      <c r="G21" s="48">
        <v>0.74513888888888891</v>
      </c>
      <c r="H21" s="48">
        <v>0.28611111111111115</v>
      </c>
      <c r="I21" s="48">
        <v>0.72083333333333333</v>
      </c>
      <c r="J21" s="31">
        <v>0.50347222222222221</v>
      </c>
      <c r="K21" s="30">
        <f>((K35-K4)/31)+K20</f>
        <v>35.290322580645189</v>
      </c>
      <c r="L21" s="30">
        <f>((L35-L4)/31)+L20</f>
        <v>30.903225806451584</v>
      </c>
      <c r="M21" s="90">
        <v>27.587096774193558</v>
      </c>
      <c r="N21" s="89">
        <f t="shared" si="0"/>
        <v>3.3129032258064526</v>
      </c>
      <c r="O21" s="106">
        <f t="shared" si="1"/>
        <v>43.258064516128989</v>
      </c>
      <c r="P21" s="108">
        <v>16.787096774193557</v>
      </c>
      <c r="Q21" s="108">
        <v>10.548387096774208</v>
      </c>
      <c r="R21" s="107">
        <v>22.451612903225822</v>
      </c>
      <c r="S21" s="41" t="s">
        <v>435</v>
      </c>
      <c r="T21" s="41" t="s">
        <v>436</v>
      </c>
      <c r="U21" s="33"/>
      <c r="V21" s="44">
        <v>18</v>
      </c>
      <c r="W21" s="46">
        <f t="shared" si="2"/>
        <v>0.70833333333333315</v>
      </c>
      <c r="X21" s="46">
        <f t="shared" ref="X21:X84" si="9">X20+(1/16)</f>
        <v>1.125</v>
      </c>
      <c r="Y21" s="46">
        <f t="shared" si="8"/>
        <v>1.4999999999999996</v>
      </c>
      <c r="Z21" s="46">
        <f t="shared" si="7"/>
        <v>1.8000000000000007</v>
      </c>
      <c r="AA21" s="46">
        <f t="shared" si="6"/>
        <v>3.6000000000000005</v>
      </c>
      <c r="AC21" s="44">
        <v>18</v>
      </c>
      <c r="AD21" s="46"/>
      <c r="AE21" s="46"/>
      <c r="AF21" s="46"/>
      <c r="AG21" s="46"/>
      <c r="AH21" s="46"/>
      <c r="AO21">
        <v>18</v>
      </c>
      <c r="AP21" s="1" t="s">
        <v>504</v>
      </c>
      <c r="AR21" s="30">
        <v>35</v>
      </c>
      <c r="AT21" s="1"/>
      <c r="AU21" s="1"/>
    </row>
    <row r="22" spans="1:47" ht="15.95" customHeight="1" x14ac:dyDescent="0.25">
      <c r="A22" s="29" t="s">
        <v>59</v>
      </c>
      <c r="B22" s="31">
        <v>0.30763888888888891</v>
      </c>
      <c r="C22" s="31">
        <v>0.69930555555555596</v>
      </c>
      <c r="D22" s="48">
        <v>0.23750000000000002</v>
      </c>
      <c r="E22" s="48">
        <v>0.76944444444444438</v>
      </c>
      <c r="F22" s="48">
        <v>0.26111111111111113</v>
      </c>
      <c r="G22" s="48">
        <v>0.74583333333333324</v>
      </c>
      <c r="H22" s="48">
        <v>0.28541666666666665</v>
      </c>
      <c r="I22" s="48">
        <v>0.72152777777777777</v>
      </c>
      <c r="J22" s="31">
        <v>0.50347222222222221</v>
      </c>
      <c r="K22" s="30">
        <f>((K35-K4)/31)+K21</f>
        <v>35.483870967741964</v>
      </c>
      <c r="L22" s="30">
        <f>((L35-L4)/31)+L21</f>
        <v>30.838709677419324</v>
      </c>
      <c r="M22" s="90">
        <v>27.645161290322591</v>
      </c>
      <c r="N22" s="89">
        <f t="shared" si="0"/>
        <v>3.3548387096774204</v>
      </c>
      <c r="O22" s="106">
        <f t="shared" si="1"/>
        <v>43.096774193548342</v>
      </c>
      <c r="P22" s="108">
        <v>16.84516129032259</v>
      </c>
      <c r="Q22" s="108">
        <v>10.580645161290338</v>
      </c>
      <c r="R22" s="107">
        <v>22.419354838709694</v>
      </c>
      <c r="S22" s="41" t="s">
        <v>435</v>
      </c>
      <c r="T22" s="41" t="s">
        <v>436</v>
      </c>
      <c r="U22" s="33"/>
      <c r="V22" s="44">
        <v>19</v>
      </c>
      <c r="W22" s="46">
        <f t="shared" si="2"/>
        <v>0.74999999999999978</v>
      </c>
      <c r="X22" s="46">
        <f t="shared" si="9"/>
        <v>1.1875</v>
      </c>
      <c r="Y22" s="46">
        <f t="shared" si="8"/>
        <v>1.5833333333333328</v>
      </c>
      <c r="Z22" s="46">
        <f t="shared" si="7"/>
        <v>1.9000000000000008</v>
      </c>
      <c r="AA22" s="46">
        <f t="shared" si="6"/>
        <v>3.8000000000000007</v>
      </c>
      <c r="AC22" s="44">
        <v>19</v>
      </c>
      <c r="AD22" s="46"/>
      <c r="AE22" s="46"/>
      <c r="AF22" s="46"/>
      <c r="AG22" s="46"/>
      <c r="AH22" s="46"/>
      <c r="AO22">
        <v>19</v>
      </c>
      <c r="AP22" s="1" t="s">
        <v>504</v>
      </c>
      <c r="AR22" s="30">
        <v>35</v>
      </c>
      <c r="AT22" s="1"/>
      <c r="AU22" s="1"/>
    </row>
    <row r="23" spans="1:47" ht="15.95" customHeight="1" x14ac:dyDescent="0.25">
      <c r="A23" s="29" t="s">
        <v>60</v>
      </c>
      <c r="B23" s="31">
        <v>0.30694444444444441</v>
      </c>
      <c r="C23" s="31">
        <v>0.7</v>
      </c>
      <c r="D23" s="48">
        <v>0.23680555555555557</v>
      </c>
      <c r="E23" s="48">
        <v>0.77083333333333337</v>
      </c>
      <c r="F23" s="48">
        <v>0.26111111111111113</v>
      </c>
      <c r="G23" s="48">
        <v>0.74652777777777779</v>
      </c>
      <c r="H23" s="48">
        <v>0.28541666666666665</v>
      </c>
      <c r="I23" s="48">
        <v>0.72222222222222221</v>
      </c>
      <c r="J23" s="31">
        <v>0.50347222222222221</v>
      </c>
      <c r="K23" s="30">
        <f>((K35-K4)/31)+K22</f>
        <v>35.67741935483874</v>
      </c>
      <c r="L23" s="30">
        <f>((L35-L4)/31)+L22</f>
        <v>30.774193548387064</v>
      </c>
      <c r="M23" s="90">
        <v>27.703225806451623</v>
      </c>
      <c r="N23" s="89">
        <f t="shared" si="0"/>
        <v>3.3967741935483882</v>
      </c>
      <c r="O23" s="106">
        <f t="shared" si="1"/>
        <v>42.935483870967694</v>
      </c>
      <c r="P23" s="108">
        <v>16.903225806451623</v>
      </c>
      <c r="Q23" s="108">
        <v>10.612903225806468</v>
      </c>
      <c r="R23" s="107">
        <v>22.387096774193566</v>
      </c>
      <c r="S23" s="41" t="s">
        <v>435</v>
      </c>
      <c r="T23" s="41" t="s">
        <v>436</v>
      </c>
      <c r="U23" s="33"/>
      <c r="V23" s="44">
        <v>20</v>
      </c>
      <c r="W23" s="46">
        <f t="shared" si="2"/>
        <v>0.79166666666666641</v>
      </c>
      <c r="X23" s="46">
        <f t="shared" si="9"/>
        <v>1.25</v>
      </c>
      <c r="Y23" s="46">
        <f t="shared" si="8"/>
        <v>1.6666666666666661</v>
      </c>
      <c r="Z23" s="46">
        <v>2</v>
      </c>
      <c r="AA23" s="46">
        <v>4</v>
      </c>
      <c r="AC23" s="44">
        <v>20</v>
      </c>
      <c r="AD23" s="46"/>
      <c r="AE23" s="46"/>
      <c r="AF23" s="46"/>
      <c r="AG23" s="46"/>
      <c r="AH23" s="46"/>
      <c r="AO23">
        <v>20</v>
      </c>
      <c r="AP23" s="1" t="s">
        <v>504</v>
      </c>
      <c r="AR23" s="30">
        <v>35</v>
      </c>
      <c r="AT23" s="1"/>
      <c r="AU23" s="1"/>
    </row>
    <row r="24" spans="1:47" ht="15.95" customHeight="1" x14ac:dyDescent="0.25">
      <c r="A24" s="29" t="s">
        <v>61</v>
      </c>
      <c r="B24" s="31">
        <v>0.30694444444444441</v>
      </c>
      <c r="C24" s="31">
        <v>0.70138888888888884</v>
      </c>
      <c r="D24" s="48">
        <v>0.23680555555555557</v>
      </c>
      <c r="E24" s="48">
        <v>0.7715277777777777</v>
      </c>
      <c r="F24" s="48">
        <v>0.26041666666666669</v>
      </c>
      <c r="G24" s="48">
        <v>0.74722222222222223</v>
      </c>
      <c r="H24" s="48">
        <v>0.28472222222222221</v>
      </c>
      <c r="I24" s="48">
        <v>0.72291666666666676</v>
      </c>
      <c r="J24" s="31">
        <v>0.50416666666666665</v>
      </c>
      <c r="K24" s="30">
        <f>((K35-K4)/31)+K23</f>
        <v>35.870967741935516</v>
      </c>
      <c r="L24" s="30">
        <f>((L35-L4)/31)+L23</f>
        <v>30.709677419354804</v>
      </c>
      <c r="M24" s="90">
        <v>27.761290322580656</v>
      </c>
      <c r="N24" s="89">
        <f t="shared" si="0"/>
        <v>3.438709677419356</v>
      </c>
      <c r="O24" s="106">
        <f t="shared" si="1"/>
        <v>42.774193548387046</v>
      </c>
      <c r="P24" s="108">
        <v>16.961290322580655</v>
      </c>
      <c r="Q24" s="108">
        <v>10.645161290322598</v>
      </c>
      <c r="R24" s="107">
        <v>22.354838709677438</v>
      </c>
      <c r="S24" s="41" t="s">
        <v>435</v>
      </c>
      <c r="T24" s="41" t="s">
        <v>436</v>
      </c>
      <c r="U24" s="33"/>
      <c r="V24" s="44">
        <v>21</v>
      </c>
      <c r="W24" s="46">
        <f t="shared" si="2"/>
        <v>0.83333333333333304</v>
      </c>
      <c r="X24" s="46">
        <f t="shared" si="9"/>
        <v>1.3125</v>
      </c>
      <c r="Y24" s="46">
        <f t="shared" si="8"/>
        <v>1.7499999999999993</v>
      </c>
      <c r="Z24" s="46">
        <f t="shared" si="7"/>
        <v>2.1</v>
      </c>
      <c r="AA24" s="46">
        <f t="shared" si="6"/>
        <v>4.2</v>
      </c>
      <c r="AC24" s="44">
        <v>21</v>
      </c>
      <c r="AD24" s="46"/>
      <c r="AE24" s="46"/>
      <c r="AF24" s="46"/>
      <c r="AG24" s="46"/>
      <c r="AH24" s="46"/>
      <c r="AO24">
        <v>21</v>
      </c>
      <c r="AP24" s="1" t="s">
        <v>505</v>
      </c>
      <c r="AR24" s="30">
        <v>35</v>
      </c>
      <c r="AT24" s="1"/>
      <c r="AU24" s="1"/>
    </row>
    <row r="25" spans="1:47" ht="15.95" customHeight="1" x14ac:dyDescent="0.25">
      <c r="A25" s="29" t="s">
        <v>62</v>
      </c>
      <c r="B25" s="31">
        <v>0.30624999999999997</v>
      </c>
      <c r="C25" s="31">
        <v>0.70208333333333339</v>
      </c>
      <c r="D25" s="48">
        <v>0.23611111111111113</v>
      </c>
      <c r="E25" s="48">
        <v>0.77222222222222225</v>
      </c>
      <c r="F25" s="48">
        <v>0.25972222222222224</v>
      </c>
      <c r="G25" s="48">
        <v>0.74861111111111101</v>
      </c>
      <c r="H25" s="48">
        <v>0.28472222222222221</v>
      </c>
      <c r="I25" s="48">
        <v>0.72361111111111109</v>
      </c>
      <c r="J25" s="31">
        <v>0.50416666666666665</v>
      </c>
      <c r="K25" s="30">
        <f>((K35-K4)/31)+K24</f>
        <v>36.064516129032292</v>
      </c>
      <c r="L25" s="30">
        <f>((L35-L4)/31)+L24</f>
        <v>30.645161290322545</v>
      </c>
      <c r="M25" s="90">
        <v>27.819354838709689</v>
      </c>
      <c r="N25" s="89">
        <f t="shared" si="0"/>
        <v>3.4806451612903238</v>
      </c>
      <c r="O25" s="106">
        <f t="shared" si="1"/>
        <v>42.612903225806399</v>
      </c>
      <c r="P25" s="108">
        <v>17.019354838709688</v>
      </c>
      <c r="Q25" s="108">
        <v>10.677419354838728</v>
      </c>
      <c r="R25" s="107">
        <v>22.32258064516131</v>
      </c>
      <c r="S25" s="41" t="s">
        <v>435</v>
      </c>
      <c r="T25" s="41" t="s">
        <v>436</v>
      </c>
      <c r="U25" s="33"/>
      <c r="V25" s="44">
        <v>22</v>
      </c>
      <c r="W25" s="46">
        <f t="shared" si="2"/>
        <v>0.87499999999999967</v>
      </c>
      <c r="X25" s="46">
        <f t="shared" si="9"/>
        <v>1.375</v>
      </c>
      <c r="Y25" s="46">
        <f t="shared" si="8"/>
        <v>1.8333333333333326</v>
      </c>
      <c r="Z25" s="46">
        <f t="shared" si="7"/>
        <v>2.2000000000000002</v>
      </c>
      <c r="AA25" s="46">
        <f t="shared" si="6"/>
        <v>4.4000000000000004</v>
      </c>
      <c r="AC25" s="44">
        <v>22</v>
      </c>
      <c r="AD25" s="46"/>
      <c r="AE25" s="46"/>
      <c r="AF25" s="46"/>
      <c r="AG25" s="46"/>
      <c r="AH25" s="46"/>
      <c r="AO25">
        <v>22</v>
      </c>
      <c r="AP25" s="1" t="s">
        <v>505</v>
      </c>
      <c r="AR25" s="30">
        <v>35</v>
      </c>
      <c r="AT25" s="1"/>
      <c r="AU25" s="1"/>
    </row>
    <row r="26" spans="1:47" ht="15.95" customHeight="1" x14ac:dyDescent="0.25">
      <c r="A26" s="29" t="s">
        <v>63</v>
      </c>
      <c r="B26" s="31">
        <v>0.30555555555555552</v>
      </c>
      <c r="C26" s="31">
        <v>0.70277777777777783</v>
      </c>
      <c r="D26" s="48">
        <v>0.23611111111111113</v>
      </c>
      <c r="E26" s="48">
        <v>0.7729166666666667</v>
      </c>
      <c r="F26" s="48">
        <v>0.25972222222222224</v>
      </c>
      <c r="G26" s="48">
        <v>0.74930555555555556</v>
      </c>
      <c r="H26" s="48">
        <v>0.28402777777777777</v>
      </c>
      <c r="I26" s="48">
        <v>0.72499999999999998</v>
      </c>
      <c r="J26" s="31">
        <v>0.50416666666666665</v>
      </c>
      <c r="K26" s="30">
        <f>((K35-K4)/31)+K25</f>
        <v>36.258064516129068</v>
      </c>
      <c r="L26" s="30">
        <f>((L35-L4)/31)+L25</f>
        <v>30.580645161290285</v>
      </c>
      <c r="M26" s="90">
        <v>27.877419354838722</v>
      </c>
      <c r="N26" s="89">
        <f t="shared" si="0"/>
        <v>3.5225806451612915</v>
      </c>
      <c r="O26" s="106">
        <f t="shared" si="1"/>
        <v>42.451612903225751</v>
      </c>
      <c r="P26" s="108">
        <v>17.077419354838721</v>
      </c>
      <c r="Q26" s="108">
        <v>10.709677419354858</v>
      </c>
      <c r="R26" s="107">
        <v>22.290322580645181</v>
      </c>
      <c r="S26" s="41" t="s">
        <v>435</v>
      </c>
      <c r="T26" s="41" t="s">
        <v>436</v>
      </c>
      <c r="U26" s="33"/>
      <c r="V26" s="44">
        <v>23</v>
      </c>
      <c r="W26" s="46">
        <f t="shared" si="2"/>
        <v>0.9166666666666663</v>
      </c>
      <c r="X26" s="46">
        <f t="shared" si="9"/>
        <v>1.4375</v>
      </c>
      <c r="Y26" s="46">
        <f t="shared" si="8"/>
        <v>1.9166666666666659</v>
      </c>
      <c r="Z26" s="46">
        <f t="shared" si="7"/>
        <v>2.3000000000000003</v>
      </c>
      <c r="AA26" s="46">
        <f t="shared" si="6"/>
        <v>4.6000000000000005</v>
      </c>
      <c r="AC26" s="44">
        <v>23</v>
      </c>
      <c r="AD26" s="46"/>
      <c r="AE26" s="46"/>
      <c r="AF26" s="46"/>
      <c r="AG26" s="46"/>
      <c r="AH26" s="46"/>
      <c r="AO26">
        <v>23</v>
      </c>
      <c r="AP26" s="1" t="s">
        <v>505</v>
      </c>
      <c r="AR26" s="30">
        <v>35</v>
      </c>
      <c r="AT26" s="1"/>
      <c r="AU26" s="1"/>
    </row>
    <row r="27" spans="1:47" ht="15.95" customHeight="1" x14ac:dyDescent="0.25">
      <c r="A27" s="29" t="s">
        <v>64</v>
      </c>
      <c r="B27" s="31">
        <v>0.30486111111111108</v>
      </c>
      <c r="C27" s="31">
        <v>0.70416666666666661</v>
      </c>
      <c r="D27" s="48">
        <v>0.23541666666666669</v>
      </c>
      <c r="E27" s="48">
        <v>0.77361111111111114</v>
      </c>
      <c r="F27" s="48">
        <v>0.2590277777777778</v>
      </c>
      <c r="G27" s="48">
        <v>0.75</v>
      </c>
      <c r="H27" s="48">
        <v>0.28333333333333333</v>
      </c>
      <c r="I27" s="48">
        <v>0.72569444444444453</v>
      </c>
      <c r="J27" s="31">
        <v>0.50416666666666665</v>
      </c>
      <c r="K27" s="30">
        <f>((K35-K4)/31)+K26</f>
        <v>36.451612903225843</v>
      </c>
      <c r="L27" s="30">
        <f>((L35-L4)/31)+L26</f>
        <v>30.516129032258025</v>
      </c>
      <c r="M27" s="90">
        <v>27.935483870967754</v>
      </c>
      <c r="N27" s="89">
        <f t="shared" si="0"/>
        <v>3.5645161290322593</v>
      </c>
      <c r="O27" s="106">
        <f t="shared" si="1"/>
        <v>42.290322580645103</v>
      </c>
      <c r="P27" s="108">
        <v>17.135483870967754</v>
      </c>
      <c r="Q27" s="108">
        <v>10.741935483870988</v>
      </c>
      <c r="R27" s="107">
        <v>22.258064516129053</v>
      </c>
      <c r="S27" s="41" t="s">
        <v>435</v>
      </c>
      <c r="T27" s="41" t="s">
        <v>436</v>
      </c>
      <c r="U27" s="33"/>
      <c r="V27" s="44">
        <v>24</v>
      </c>
      <c r="W27" s="46">
        <f t="shared" si="2"/>
        <v>0.95833333333333293</v>
      </c>
      <c r="X27" s="46">
        <f t="shared" si="9"/>
        <v>1.5</v>
      </c>
      <c r="Y27" s="46">
        <v>2</v>
      </c>
      <c r="Z27" s="46">
        <f t="shared" si="7"/>
        <v>2.4000000000000004</v>
      </c>
      <c r="AA27" s="46">
        <f t="shared" si="6"/>
        <v>4.8000000000000007</v>
      </c>
      <c r="AC27" s="44">
        <v>24</v>
      </c>
      <c r="AD27" s="46"/>
      <c r="AE27" s="46"/>
      <c r="AF27" s="46"/>
      <c r="AG27" s="46"/>
      <c r="AH27" s="46"/>
      <c r="AO27">
        <v>24</v>
      </c>
      <c r="AP27" s="1" t="s">
        <v>505</v>
      </c>
      <c r="AR27" s="30">
        <v>35</v>
      </c>
      <c r="AT27" s="1"/>
      <c r="AU27" s="1"/>
    </row>
    <row r="28" spans="1:47" ht="15.95" customHeight="1" x14ac:dyDescent="0.25">
      <c r="A28" s="29" t="s">
        <v>65</v>
      </c>
      <c r="B28" s="31">
        <v>0.30416666666666664</v>
      </c>
      <c r="C28" s="31">
        <v>0.70486111111111116</v>
      </c>
      <c r="D28" s="48">
        <v>0.23472222222222219</v>
      </c>
      <c r="E28" s="48">
        <v>0.77430555555555547</v>
      </c>
      <c r="F28" s="48">
        <v>0.25833333333333336</v>
      </c>
      <c r="G28" s="48">
        <v>0.75069444444444444</v>
      </c>
      <c r="H28" s="48">
        <v>0.28263888888888888</v>
      </c>
      <c r="I28" s="48">
        <v>0.72638888888888886</v>
      </c>
      <c r="J28" s="31">
        <v>0.50486111111111109</v>
      </c>
      <c r="K28" s="30">
        <f>((K35-K4)/31)+K27</f>
        <v>36.645161290322619</v>
      </c>
      <c r="L28" s="30">
        <f>((L35-L4)/31)+L27</f>
        <v>30.451612903225765</v>
      </c>
      <c r="M28" s="90">
        <v>27.993548387096787</v>
      </c>
      <c r="N28" s="89">
        <f t="shared" si="0"/>
        <v>3.6064516129032271</v>
      </c>
      <c r="O28" s="106">
        <f t="shared" si="1"/>
        <v>42.129032258064456</v>
      </c>
      <c r="P28" s="108">
        <v>17.193548387096786</v>
      </c>
      <c r="Q28" s="108">
        <v>10.774193548387117</v>
      </c>
      <c r="R28" s="107">
        <v>22.225806451612925</v>
      </c>
      <c r="S28" s="41" t="s">
        <v>435</v>
      </c>
      <c r="T28" s="41" t="s">
        <v>436</v>
      </c>
      <c r="U28" s="33"/>
      <c r="V28" s="44">
        <v>25</v>
      </c>
      <c r="W28" s="46">
        <v>1</v>
      </c>
      <c r="X28" s="46">
        <f t="shared" si="9"/>
        <v>1.5625</v>
      </c>
      <c r="Y28" s="46">
        <f t="shared" si="8"/>
        <v>2.0833333333333335</v>
      </c>
      <c r="Z28" s="46">
        <f t="shared" si="7"/>
        <v>2.5000000000000004</v>
      </c>
      <c r="AA28" s="46">
        <v>5</v>
      </c>
      <c r="AC28" s="44">
        <v>25</v>
      </c>
      <c r="AD28" s="46"/>
      <c r="AE28" s="46"/>
      <c r="AF28" s="46"/>
      <c r="AG28" s="46"/>
      <c r="AH28" s="46"/>
      <c r="AO28">
        <v>25</v>
      </c>
      <c r="AP28" s="1" t="s">
        <v>505</v>
      </c>
      <c r="AR28" s="30">
        <v>35</v>
      </c>
      <c r="AT28" s="1"/>
      <c r="AU28" s="1"/>
    </row>
    <row r="29" spans="1:47" ht="15.95" customHeight="1" x14ac:dyDescent="0.25">
      <c r="A29" s="29" t="s">
        <v>66</v>
      </c>
      <c r="B29" s="31">
        <v>0.30416666666666664</v>
      </c>
      <c r="C29" s="31">
        <v>0.7055555555555556</v>
      </c>
      <c r="D29" s="48">
        <v>0.23472222222222219</v>
      </c>
      <c r="E29" s="48">
        <v>0.77500000000000002</v>
      </c>
      <c r="F29" s="48">
        <v>0.25833333333333336</v>
      </c>
      <c r="G29" s="48">
        <v>0.75138888888888899</v>
      </c>
      <c r="H29" s="48">
        <v>0.28263888888888888</v>
      </c>
      <c r="I29" s="48">
        <v>0.7270833333333333</v>
      </c>
      <c r="J29" s="31">
        <v>0.50486111111111109</v>
      </c>
      <c r="K29" s="30">
        <f>((K35-K4)/31)+K28</f>
        <v>36.838709677419395</v>
      </c>
      <c r="L29" s="30">
        <f>((L35-L4)/31)+L28</f>
        <v>30.387096774193505</v>
      </c>
      <c r="M29" s="90">
        <v>28.05161290322582</v>
      </c>
      <c r="N29" s="89">
        <f t="shared" si="0"/>
        <v>3.6483870967741949</v>
      </c>
      <c r="O29" s="106">
        <f t="shared" si="1"/>
        <v>41.967741935483808</v>
      </c>
      <c r="P29" s="108">
        <v>17.251612903225819</v>
      </c>
      <c r="Q29" s="108">
        <v>10.806451612903247</v>
      </c>
      <c r="R29" s="107">
        <v>22.193548387096797</v>
      </c>
      <c r="S29" s="41" t="s">
        <v>435</v>
      </c>
      <c r="T29" s="41" t="s">
        <v>436</v>
      </c>
      <c r="U29" s="33"/>
      <c r="V29" s="44">
        <v>26</v>
      </c>
      <c r="W29" s="46">
        <f>W28+(1/25)</f>
        <v>1.04</v>
      </c>
      <c r="X29" s="46">
        <f t="shared" si="9"/>
        <v>1.625</v>
      </c>
      <c r="Y29" s="46">
        <f t="shared" si="8"/>
        <v>2.166666666666667</v>
      </c>
      <c r="Z29" s="46">
        <f t="shared" si="7"/>
        <v>2.6000000000000005</v>
      </c>
      <c r="AA29" s="46">
        <f t="shared" si="6"/>
        <v>5.2</v>
      </c>
      <c r="AC29" s="44">
        <v>26</v>
      </c>
      <c r="AD29" s="46"/>
      <c r="AE29" s="46"/>
      <c r="AF29" s="46"/>
      <c r="AG29" s="46"/>
      <c r="AH29" s="46"/>
      <c r="AO29">
        <v>26</v>
      </c>
      <c r="AP29" s="1" t="s">
        <v>506</v>
      </c>
      <c r="AR29" s="30">
        <v>65</v>
      </c>
      <c r="AT29" s="1"/>
      <c r="AU29"/>
    </row>
    <row r="30" spans="1:47" ht="15.95" customHeight="1" x14ac:dyDescent="0.25">
      <c r="A30" s="29" t="s">
        <v>67</v>
      </c>
      <c r="B30" s="31">
        <v>0.3034722222222222</v>
      </c>
      <c r="C30" s="31">
        <v>0.70694444444444438</v>
      </c>
      <c r="D30" s="48">
        <v>0.23402777777777781</v>
      </c>
      <c r="E30" s="48">
        <v>0.77569444444444446</v>
      </c>
      <c r="F30" s="48">
        <v>0.25763888888888892</v>
      </c>
      <c r="G30" s="48">
        <v>0.75208333333333333</v>
      </c>
      <c r="H30" s="48">
        <v>0.28194444444444444</v>
      </c>
      <c r="I30" s="48">
        <v>0.7284722222222223</v>
      </c>
      <c r="J30" s="31">
        <v>0.50486111111111109</v>
      </c>
      <c r="K30" s="30">
        <f>((K35-K4)/31)+K29</f>
        <v>37.032258064516171</v>
      </c>
      <c r="L30" s="30">
        <f>((L35-L4)/31)+L29</f>
        <v>30.322580645161246</v>
      </c>
      <c r="M30" s="90">
        <v>28.109677419354853</v>
      </c>
      <c r="N30" s="89">
        <f t="shared" si="0"/>
        <v>3.6903225806451627</v>
      </c>
      <c r="O30" s="106">
        <f t="shared" si="1"/>
        <v>41.80645161290316</v>
      </c>
      <c r="P30" s="108">
        <v>17.309677419354852</v>
      </c>
      <c r="Q30" s="108">
        <v>10.838709677419377</v>
      </c>
      <c r="R30" s="107">
        <v>22.161290322580669</v>
      </c>
      <c r="S30" s="41" t="s">
        <v>435</v>
      </c>
      <c r="T30" s="41" t="s">
        <v>436</v>
      </c>
      <c r="U30" s="33"/>
      <c r="V30" s="44">
        <v>27</v>
      </c>
      <c r="W30" s="46">
        <f t="shared" ref="W30:W93" si="10">W29+(1/25)</f>
        <v>1.08</v>
      </c>
      <c r="X30" s="46">
        <f t="shared" si="9"/>
        <v>1.6875</v>
      </c>
      <c r="Y30" s="46">
        <f t="shared" si="8"/>
        <v>2.2500000000000004</v>
      </c>
      <c r="Z30" s="46">
        <f t="shared" si="7"/>
        <v>2.7000000000000006</v>
      </c>
      <c r="AA30" s="46">
        <f t="shared" si="6"/>
        <v>5.4</v>
      </c>
      <c r="AC30" s="44">
        <v>27</v>
      </c>
      <c r="AD30" s="46"/>
      <c r="AE30" s="46"/>
      <c r="AF30" s="46"/>
      <c r="AG30" s="46"/>
      <c r="AH30" s="46"/>
      <c r="AO30">
        <v>27</v>
      </c>
      <c r="AP30" s="1" t="s">
        <v>506</v>
      </c>
      <c r="AR30" s="30">
        <v>65</v>
      </c>
      <c r="AT30" s="1"/>
    </row>
    <row r="31" spans="1:47" ht="15.95" customHeight="1" x14ac:dyDescent="0.25">
      <c r="A31" s="29" t="s">
        <v>68</v>
      </c>
      <c r="B31" s="31">
        <v>0.30277777777777776</v>
      </c>
      <c r="C31" s="31">
        <v>0.70763888888888893</v>
      </c>
      <c r="D31" s="48">
        <v>0.23333333333333331</v>
      </c>
      <c r="E31" s="48">
        <v>0.77708333333333324</v>
      </c>
      <c r="F31" s="48">
        <v>0.25694444444444448</v>
      </c>
      <c r="G31" s="48">
        <v>0.75347222222222221</v>
      </c>
      <c r="H31" s="48">
        <v>0.28125</v>
      </c>
      <c r="I31" s="48">
        <v>0.72916666666666663</v>
      </c>
      <c r="J31" s="31">
        <v>0.50486111111111109</v>
      </c>
      <c r="K31" s="30">
        <f>((K35-K4)/31)+K30</f>
        <v>37.225806451612947</v>
      </c>
      <c r="L31" s="30">
        <f>((L35-L4)/31)+L30</f>
        <v>30.258064516128986</v>
      </c>
      <c r="M31" s="90">
        <v>28.167741935483885</v>
      </c>
      <c r="N31" s="89">
        <f t="shared" si="0"/>
        <v>3.7322580645161305</v>
      </c>
      <c r="O31" s="106">
        <f t="shared" si="1"/>
        <v>41.645161290322513</v>
      </c>
      <c r="P31" s="108">
        <v>17.367741935483885</v>
      </c>
      <c r="Q31" s="108">
        <v>10.870967741935507</v>
      </c>
      <c r="R31" s="107">
        <v>22.129032258064541</v>
      </c>
      <c r="S31" s="41" t="s">
        <v>435</v>
      </c>
      <c r="T31" s="41" t="s">
        <v>436</v>
      </c>
      <c r="U31" s="33"/>
      <c r="V31" s="44">
        <v>28</v>
      </c>
      <c r="W31" s="46">
        <f t="shared" si="10"/>
        <v>1.1200000000000001</v>
      </c>
      <c r="X31" s="46">
        <f t="shared" si="9"/>
        <v>1.75</v>
      </c>
      <c r="Y31" s="46">
        <f t="shared" si="8"/>
        <v>2.3333333333333339</v>
      </c>
      <c r="Z31" s="46">
        <f t="shared" si="7"/>
        <v>2.8000000000000007</v>
      </c>
      <c r="AA31" s="46">
        <f t="shared" si="6"/>
        <v>5.6000000000000005</v>
      </c>
      <c r="AC31" s="44">
        <v>28</v>
      </c>
      <c r="AD31" s="46"/>
      <c r="AE31" s="46"/>
      <c r="AF31" s="46"/>
      <c r="AG31" s="46"/>
      <c r="AH31" s="46"/>
      <c r="AO31">
        <v>28</v>
      </c>
      <c r="AP31" s="1" t="s">
        <v>508</v>
      </c>
      <c r="AQ31" s="30">
        <v>20</v>
      </c>
      <c r="AR31" s="30">
        <v>60</v>
      </c>
      <c r="AT31"/>
    </row>
    <row r="32" spans="1:47" ht="15.95" customHeight="1" x14ac:dyDescent="0.25">
      <c r="A32" s="29" t="s">
        <v>69</v>
      </c>
      <c r="B32" s="31">
        <v>0.30208333333333331</v>
      </c>
      <c r="C32" s="31">
        <v>0.70833333333333337</v>
      </c>
      <c r="D32" s="48">
        <v>0.23263888888888887</v>
      </c>
      <c r="E32" s="48">
        <v>0.77777777777777779</v>
      </c>
      <c r="F32" s="48">
        <v>0.25625000000000003</v>
      </c>
      <c r="G32" s="48">
        <v>0.75416666666666676</v>
      </c>
      <c r="H32" s="48">
        <v>0.28055555555555556</v>
      </c>
      <c r="I32" s="48">
        <v>0.72986111111111107</v>
      </c>
      <c r="J32" s="31">
        <v>0.50486111111111109</v>
      </c>
      <c r="K32" s="30">
        <f>((K35-K4)/31)+K31</f>
        <v>37.419354838709722</v>
      </c>
      <c r="L32" s="30">
        <f>((L35-L4)/31)+L31</f>
        <v>30.193548387096726</v>
      </c>
      <c r="M32" s="90">
        <v>28.225806451612918</v>
      </c>
      <c r="N32" s="89">
        <f t="shared" si="0"/>
        <v>3.7741935483870983</v>
      </c>
      <c r="O32" s="106">
        <f t="shared" si="1"/>
        <v>41.483870967741865</v>
      </c>
      <c r="P32" s="108">
        <v>17.425806451612917</v>
      </c>
      <c r="Q32" s="108">
        <v>10.903225806451637</v>
      </c>
      <c r="R32" s="107">
        <v>22.096774193548413</v>
      </c>
      <c r="S32" s="41" t="s">
        <v>435</v>
      </c>
      <c r="T32" s="41" t="s">
        <v>436</v>
      </c>
      <c r="U32" s="33"/>
      <c r="V32" s="44">
        <v>29</v>
      </c>
      <c r="W32" s="46">
        <f t="shared" si="10"/>
        <v>1.1600000000000001</v>
      </c>
      <c r="X32" s="46">
        <f t="shared" si="9"/>
        <v>1.8125</v>
      </c>
      <c r="Y32" s="46">
        <f t="shared" si="8"/>
        <v>2.4166666666666674</v>
      </c>
      <c r="Z32" s="46">
        <f t="shared" si="7"/>
        <v>2.9000000000000008</v>
      </c>
      <c r="AA32" s="46">
        <f t="shared" si="6"/>
        <v>5.8000000000000007</v>
      </c>
      <c r="AC32" s="44">
        <v>29</v>
      </c>
      <c r="AD32" s="46"/>
      <c r="AE32" s="46"/>
      <c r="AF32" s="46"/>
      <c r="AG32" s="46"/>
      <c r="AH32" s="46"/>
      <c r="AO32">
        <v>29</v>
      </c>
      <c r="AP32" s="1" t="s">
        <v>508</v>
      </c>
      <c r="AQ32" s="30">
        <v>20</v>
      </c>
      <c r="AR32" s="30">
        <v>60</v>
      </c>
    </row>
    <row r="33" spans="1:44" ht="15.95" customHeight="1" x14ac:dyDescent="0.25">
      <c r="A33" s="29" t="s">
        <v>70</v>
      </c>
      <c r="B33" s="31">
        <v>0.30138888888888887</v>
      </c>
      <c r="C33" s="31">
        <v>0.70972222222222225</v>
      </c>
      <c r="D33" s="48">
        <v>0.23263888888888887</v>
      </c>
      <c r="E33" s="48">
        <v>0.77847222222222223</v>
      </c>
      <c r="F33" s="48">
        <v>0.25555555555555559</v>
      </c>
      <c r="G33" s="48">
        <v>0.75486111111111109</v>
      </c>
      <c r="H33" s="48">
        <v>0.27986111111111112</v>
      </c>
      <c r="I33" s="48">
        <v>0.73125000000000007</v>
      </c>
      <c r="J33" s="31">
        <v>0.50555555555555554</v>
      </c>
      <c r="K33" s="30">
        <f>((K35-K4)/31)+K32</f>
        <v>37.612903225806498</v>
      </c>
      <c r="L33" s="30">
        <f>((L35-L4)/31)+L32</f>
        <v>30.129032258064466</v>
      </c>
      <c r="M33" s="90">
        <v>28.283870967741951</v>
      </c>
      <c r="N33" s="89">
        <f t="shared" si="0"/>
        <v>3.8161290322580661</v>
      </c>
      <c r="O33" s="106">
        <f t="shared" si="1"/>
        <v>41.322580645161217</v>
      </c>
      <c r="P33" s="108">
        <v>17.48387096774195</v>
      </c>
      <c r="Q33" s="108">
        <v>10.935483870967767</v>
      </c>
      <c r="R33" s="107">
        <v>22.064516129032285</v>
      </c>
      <c r="S33" s="41" t="s">
        <v>435</v>
      </c>
      <c r="T33" s="41" t="s">
        <v>436</v>
      </c>
      <c r="U33" s="40"/>
      <c r="V33" s="44">
        <v>30</v>
      </c>
      <c r="W33" s="46">
        <f t="shared" si="10"/>
        <v>1.2000000000000002</v>
      </c>
      <c r="X33" s="46">
        <f t="shared" si="9"/>
        <v>1.875</v>
      </c>
      <c r="Y33" s="46">
        <f t="shared" si="8"/>
        <v>2.5000000000000009</v>
      </c>
      <c r="Z33" s="46">
        <v>3</v>
      </c>
      <c r="AA33" s="46">
        <v>6</v>
      </c>
      <c r="AC33" s="44">
        <v>30</v>
      </c>
      <c r="AD33" s="46"/>
      <c r="AE33" s="46"/>
      <c r="AF33" s="46"/>
      <c r="AG33" s="46"/>
      <c r="AH33" s="46"/>
      <c r="AO33">
        <v>30</v>
      </c>
      <c r="AP33" s="1" t="s">
        <v>508</v>
      </c>
      <c r="AQ33" s="30">
        <v>20</v>
      </c>
      <c r="AR33" s="30">
        <v>60</v>
      </c>
    </row>
    <row r="34" spans="1:44" ht="15.95" customHeight="1" x14ac:dyDescent="0.25">
      <c r="A34" s="29" t="s">
        <v>71</v>
      </c>
      <c r="B34" s="31">
        <v>0.30069444444444443</v>
      </c>
      <c r="C34" s="31">
        <v>0.7104166666666667</v>
      </c>
      <c r="D34" s="48">
        <v>0.23194444444444443</v>
      </c>
      <c r="E34" s="48">
        <v>0.77916666666666667</v>
      </c>
      <c r="F34" s="48">
        <v>0.25555555555555559</v>
      </c>
      <c r="G34" s="48">
        <v>0.75555555555555554</v>
      </c>
      <c r="H34" s="48">
        <v>0.27916666666666667</v>
      </c>
      <c r="I34" s="48">
        <v>0.7319444444444444</v>
      </c>
      <c r="J34" s="31">
        <v>0.50555555555555554</v>
      </c>
      <c r="K34" s="30">
        <f>((K35-K4)/31)+K33</f>
        <v>37.806451612903274</v>
      </c>
      <c r="L34" s="30">
        <f>((L35-L4)/31)+L33</f>
        <v>30.064516129032206</v>
      </c>
      <c r="M34" s="90">
        <v>28.341935483870984</v>
      </c>
      <c r="N34" s="89">
        <f t="shared" si="0"/>
        <v>3.8580645161290339</v>
      </c>
      <c r="O34" s="106">
        <f t="shared" si="1"/>
        <v>41.16129032258057</v>
      </c>
      <c r="P34" s="108">
        <v>17.541935483870983</v>
      </c>
      <c r="Q34" s="108">
        <v>10.967741935483897</v>
      </c>
      <c r="R34" s="107">
        <v>22.032258064516157</v>
      </c>
      <c r="S34" s="41" t="s">
        <v>435</v>
      </c>
      <c r="T34" s="41" t="s">
        <v>436</v>
      </c>
      <c r="U34" s="40"/>
      <c r="V34" s="44">
        <v>31</v>
      </c>
      <c r="W34" s="46">
        <f t="shared" si="10"/>
        <v>1.2400000000000002</v>
      </c>
      <c r="X34" s="46">
        <f t="shared" si="9"/>
        <v>1.9375</v>
      </c>
      <c r="Y34" s="46">
        <f t="shared" si="8"/>
        <v>2.5833333333333344</v>
      </c>
      <c r="Z34" s="46">
        <f t="shared" si="7"/>
        <v>3.1</v>
      </c>
      <c r="AA34" s="46">
        <f t="shared" si="6"/>
        <v>6.2</v>
      </c>
      <c r="AC34" s="44">
        <v>31</v>
      </c>
      <c r="AD34" s="46"/>
      <c r="AE34" s="46"/>
      <c r="AF34" s="46"/>
      <c r="AG34" s="46"/>
      <c r="AH34" s="46"/>
      <c r="AO34">
        <v>31</v>
      </c>
      <c r="AP34" s="1" t="s">
        <v>511</v>
      </c>
      <c r="AQ34" s="30">
        <v>30</v>
      </c>
      <c r="AR34" s="30">
        <v>70</v>
      </c>
    </row>
    <row r="35" spans="1:44" ht="15.95" customHeight="1" x14ac:dyDescent="0.25">
      <c r="A35" s="29" t="s">
        <v>72</v>
      </c>
      <c r="B35" s="31">
        <v>0.3</v>
      </c>
      <c r="C35" s="31">
        <v>0.71180555555555547</v>
      </c>
      <c r="D35" s="31">
        <v>0.23124999999999998</v>
      </c>
      <c r="E35" s="31">
        <v>0.77986111111111101</v>
      </c>
      <c r="F35" s="31">
        <v>0.25486111111111109</v>
      </c>
      <c r="G35" s="31">
        <v>0.75694444444444453</v>
      </c>
      <c r="H35" s="31">
        <v>0.27847222222222223</v>
      </c>
      <c r="I35" s="31">
        <v>0.73263888888888884</v>
      </c>
      <c r="J35" s="31">
        <v>0.50555555555555554</v>
      </c>
      <c r="K35" s="30">
        <v>38</v>
      </c>
      <c r="L35" s="30">
        <v>30</v>
      </c>
      <c r="M35" s="90">
        <v>28.4</v>
      </c>
      <c r="N35" s="89">
        <v>3.9</v>
      </c>
      <c r="O35" s="106">
        <v>41</v>
      </c>
      <c r="P35" s="108">
        <v>17.600000000000001</v>
      </c>
      <c r="Q35" s="108">
        <v>11</v>
      </c>
      <c r="R35" s="107">
        <v>22</v>
      </c>
      <c r="S35" s="41" t="s">
        <v>433</v>
      </c>
      <c r="T35" s="41" t="s">
        <v>435</v>
      </c>
      <c r="U35" s="33"/>
      <c r="V35" s="44">
        <v>32</v>
      </c>
      <c r="W35" s="46">
        <f t="shared" si="10"/>
        <v>1.2800000000000002</v>
      </c>
      <c r="X35" s="47">
        <v>2</v>
      </c>
      <c r="Y35" s="46">
        <f t="shared" si="8"/>
        <v>2.6666666666666679</v>
      </c>
      <c r="Z35" s="46">
        <f t="shared" si="7"/>
        <v>3.2</v>
      </c>
      <c r="AA35" s="46">
        <f t="shared" si="6"/>
        <v>6.4</v>
      </c>
      <c r="AC35" s="44">
        <v>32</v>
      </c>
      <c r="AD35" s="46"/>
      <c r="AE35" s="47"/>
      <c r="AF35" s="46"/>
      <c r="AG35" s="46"/>
      <c r="AH35" s="46"/>
      <c r="AO35">
        <v>32</v>
      </c>
      <c r="AP35" s="1" t="s">
        <v>511</v>
      </c>
      <c r="AQ35" s="30">
        <v>30</v>
      </c>
      <c r="AR35" s="30">
        <v>70</v>
      </c>
    </row>
    <row r="36" spans="1:44" ht="15.95" customHeight="1" x14ac:dyDescent="0.25">
      <c r="A36" s="29" t="s">
        <v>73</v>
      </c>
      <c r="B36" s="31">
        <v>0.29930555555555555</v>
      </c>
      <c r="C36" s="31">
        <v>0.71250000000000002</v>
      </c>
      <c r="D36" s="31">
        <v>0.23055555555555554</v>
      </c>
      <c r="E36" s="31">
        <v>0.78055555555555556</v>
      </c>
      <c r="F36" s="31">
        <v>0.25416666666666665</v>
      </c>
      <c r="G36" s="31">
        <v>0.75763888888888886</v>
      </c>
      <c r="H36" s="31">
        <v>0.27777777777777779</v>
      </c>
      <c r="I36" s="31">
        <v>0.73333333333333339</v>
      </c>
      <c r="J36" s="31">
        <v>0.50555555555555554</v>
      </c>
      <c r="K36" s="30">
        <f>((K64-K35)/29)+K35</f>
        <v>38.275862068965516</v>
      </c>
      <c r="L36" s="30">
        <f>((L64-L35)/29)+L35</f>
        <v>30.275862068965516</v>
      </c>
      <c r="M36" s="90">
        <v>28.710344827586205</v>
      </c>
      <c r="N36" s="89">
        <f>((($N$64-$N$35)/29)+N35)</f>
        <v>4.0620689655172413</v>
      </c>
      <c r="O36" s="106">
        <f>(($O$64-$O$35)/29)+O35</f>
        <v>41.137931034482762</v>
      </c>
      <c r="P36" s="108">
        <v>17.786206896551725</v>
      </c>
      <c r="Q36" s="108">
        <v>11</v>
      </c>
      <c r="R36" s="107">
        <v>22.03448275862069</v>
      </c>
      <c r="S36" s="41" t="s">
        <v>433</v>
      </c>
      <c r="T36" s="41" t="s">
        <v>435</v>
      </c>
      <c r="U36" s="33"/>
      <c r="V36" s="44">
        <v>33</v>
      </c>
      <c r="W36" s="46">
        <f t="shared" si="10"/>
        <v>1.3200000000000003</v>
      </c>
      <c r="X36" s="46">
        <f t="shared" si="9"/>
        <v>2.0625</v>
      </c>
      <c r="Y36" s="46">
        <f t="shared" si="8"/>
        <v>2.7500000000000013</v>
      </c>
      <c r="Z36" s="46">
        <f t="shared" si="7"/>
        <v>3.3000000000000003</v>
      </c>
      <c r="AA36" s="46">
        <f t="shared" si="6"/>
        <v>6.6000000000000005</v>
      </c>
      <c r="AC36" s="44">
        <v>33</v>
      </c>
      <c r="AD36" s="46"/>
      <c r="AE36" s="46"/>
      <c r="AF36" s="46"/>
      <c r="AG36" s="46"/>
      <c r="AH36" s="46"/>
      <c r="AO36">
        <v>33</v>
      </c>
      <c r="AP36" s="1" t="s">
        <v>511</v>
      </c>
      <c r="AQ36" s="30">
        <v>30</v>
      </c>
      <c r="AR36" s="30">
        <v>70</v>
      </c>
    </row>
    <row r="37" spans="1:44" ht="15.95" customHeight="1" x14ac:dyDescent="0.25">
      <c r="A37" s="29" t="s">
        <v>74</v>
      </c>
      <c r="B37" s="31">
        <v>0.29791666666666666</v>
      </c>
      <c r="C37" s="31">
        <v>0.71319444444444446</v>
      </c>
      <c r="D37" s="31">
        <v>0.2298611111111111</v>
      </c>
      <c r="E37" s="31">
        <v>0.78194444444444444</v>
      </c>
      <c r="F37" s="31">
        <v>0.25347222222222221</v>
      </c>
      <c r="G37" s="31">
        <v>0.7583333333333333</v>
      </c>
      <c r="H37" s="31">
        <v>0.27708333333333335</v>
      </c>
      <c r="I37" s="31">
        <v>0.73472222222222217</v>
      </c>
      <c r="J37" s="31">
        <v>0.50555555555555554</v>
      </c>
      <c r="K37" s="30">
        <f>((K64-K35)/29)+K36</f>
        <v>38.551724137931032</v>
      </c>
      <c r="L37" s="30">
        <f>((L64-L35)/29)+L36</f>
        <v>30.551724137931032</v>
      </c>
      <c r="M37" s="90">
        <v>29.020689655172411</v>
      </c>
      <c r="N37" s="89">
        <f t="shared" ref="N37:N63" si="11">((($N$64-$N$35)/29)+N36)</f>
        <v>4.2241379310344822</v>
      </c>
      <c r="O37" s="106">
        <f t="shared" ref="O37:O63" si="12">(($O$64-$O$35)/29)+O36</f>
        <v>41.275862068965523</v>
      </c>
      <c r="P37" s="108">
        <v>17.972413793103449</v>
      </c>
      <c r="Q37" s="108">
        <v>11</v>
      </c>
      <c r="R37" s="107">
        <v>22.068965517241381</v>
      </c>
      <c r="S37" s="41" t="s">
        <v>433</v>
      </c>
      <c r="T37" s="41" t="s">
        <v>435</v>
      </c>
      <c r="U37" s="33"/>
      <c r="V37" s="44">
        <v>34</v>
      </c>
      <c r="W37" s="46">
        <f t="shared" si="10"/>
        <v>1.3600000000000003</v>
      </c>
      <c r="X37" s="46">
        <f t="shared" si="9"/>
        <v>2.125</v>
      </c>
      <c r="Y37" s="46">
        <f t="shared" si="8"/>
        <v>2.8333333333333348</v>
      </c>
      <c r="Z37" s="46">
        <f t="shared" si="7"/>
        <v>3.4000000000000004</v>
      </c>
      <c r="AA37" s="46">
        <f t="shared" si="6"/>
        <v>6.8000000000000007</v>
      </c>
      <c r="AC37" s="44">
        <v>34</v>
      </c>
      <c r="AD37" s="46"/>
      <c r="AE37" s="46"/>
      <c r="AF37" s="46"/>
      <c r="AG37" s="46"/>
      <c r="AH37" s="46"/>
      <c r="AO37">
        <v>34</v>
      </c>
      <c r="AP37" s="1" t="s">
        <v>511</v>
      </c>
      <c r="AQ37" s="30">
        <v>30</v>
      </c>
      <c r="AR37" s="30">
        <v>70</v>
      </c>
    </row>
    <row r="38" spans="1:44" ht="15.95" customHeight="1" x14ac:dyDescent="0.25">
      <c r="A38" s="29" t="s">
        <v>75</v>
      </c>
      <c r="B38" s="31">
        <v>0.29722222222222222</v>
      </c>
      <c r="C38" s="31">
        <v>0.71458333333333324</v>
      </c>
      <c r="D38" s="31">
        <v>0.22916666666666666</v>
      </c>
      <c r="E38" s="31">
        <v>0.78263888888888899</v>
      </c>
      <c r="F38" s="31">
        <v>0.25277777777777777</v>
      </c>
      <c r="G38" s="31">
        <v>0.75902777777777775</v>
      </c>
      <c r="H38" s="31">
        <v>0.27638888888888885</v>
      </c>
      <c r="I38" s="31">
        <v>0.73541666666666661</v>
      </c>
      <c r="J38" s="31">
        <v>0.50555555555555554</v>
      </c>
      <c r="K38" s="30">
        <f>((K64-K35)/29)+K37</f>
        <v>38.827586206896548</v>
      </c>
      <c r="L38" s="30">
        <f>((L64-L35)/29)+L37</f>
        <v>30.827586206896548</v>
      </c>
      <c r="M38" s="90">
        <v>29.331034482758618</v>
      </c>
      <c r="N38" s="89">
        <f t="shared" si="11"/>
        <v>4.3862068965517231</v>
      </c>
      <c r="O38" s="106">
        <f t="shared" si="12"/>
        <v>41.413793103448285</v>
      </c>
      <c r="P38" s="108">
        <v>18.158620689655173</v>
      </c>
      <c r="Q38" s="108">
        <v>11</v>
      </c>
      <c r="R38" s="107">
        <v>22.103448275862071</v>
      </c>
      <c r="S38" s="41" t="s">
        <v>433</v>
      </c>
      <c r="T38" s="41" t="s">
        <v>435</v>
      </c>
      <c r="U38" s="33"/>
      <c r="V38" s="44">
        <v>35</v>
      </c>
      <c r="W38" s="46">
        <f t="shared" si="10"/>
        <v>1.4000000000000004</v>
      </c>
      <c r="X38" s="46">
        <f t="shared" si="9"/>
        <v>2.1875</v>
      </c>
      <c r="Y38" s="46">
        <f t="shared" si="8"/>
        <v>2.9166666666666683</v>
      </c>
      <c r="Z38" s="46">
        <f t="shared" si="7"/>
        <v>3.5000000000000004</v>
      </c>
      <c r="AA38" s="46">
        <v>7</v>
      </c>
      <c r="AC38" s="44">
        <v>35</v>
      </c>
      <c r="AD38" s="46"/>
      <c r="AE38" s="46"/>
      <c r="AF38" s="46"/>
      <c r="AG38" s="46"/>
      <c r="AH38" s="46"/>
      <c r="AO38">
        <v>35</v>
      </c>
      <c r="AP38" s="1" t="s">
        <v>511</v>
      </c>
      <c r="AQ38" s="30">
        <v>30</v>
      </c>
      <c r="AR38" s="30">
        <v>70</v>
      </c>
    </row>
    <row r="39" spans="1:44" ht="15.95" customHeight="1" x14ac:dyDescent="0.25">
      <c r="A39" s="29" t="s">
        <v>76</v>
      </c>
      <c r="B39" s="31">
        <v>0.29652777777777778</v>
      </c>
      <c r="C39" s="31">
        <v>0.71527777777777779</v>
      </c>
      <c r="D39" s="31">
        <v>0.22847222222222222</v>
      </c>
      <c r="E39" s="31">
        <v>0.78333333333333333</v>
      </c>
      <c r="F39" s="31">
        <v>0.25208333333333333</v>
      </c>
      <c r="G39" s="31">
        <v>0.7597222222222223</v>
      </c>
      <c r="H39" s="31">
        <v>0.27569444444444446</v>
      </c>
      <c r="I39" s="31">
        <v>0.73611111111111116</v>
      </c>
      <c r="J39" s="31">
        <v>0.50555555555555554</v>
      </c>
      <c r="K39" s="30">
        <f>((K64-K35)/29)+K38</f>
        <v>39.103448275862064</v>
      </c>
      <c r="L39" s="30">
        <f>((L64-L35)/29)+L38</f>
        <v>31.103448275862064</v>
      </c>
      <c r="M39" s="90">
        <v>29.641379310344824</v>
      </c>
      <c r="N39" s="89">
        <f t="shared" si="11"/>
        <v>4.5482758620689641</v>
      </c>
      <c r="O39" s="106">
        <f t="shared" si="12"/>
        <v>41.551724137931046</v>
      </c>
      <c r="P39" s="108">
        <v>18.344827586206897</v>
      </c>
      <c r="Q39" s="108">
        <v>11</v>
      </c>
      <c r="R39" s="107">
        <v>22.137931034482762</v>
      </c>
      <c r="S39" s="41" t="s">
        <v>433</v>
      </c>
      <c r="T39" s="41" t="s">
        <v>435</v>
      </c>
      <c r="U39" s="33"/>
      <c r="V39" s="44">
        <v>36</v>
      </c>
      <c r="W39" s="46">
        <f t="shared" si="10"/>
        <v>1.4400000000000004</v>
      </c>
      <c r="X39" s="46">
        <f t="shared" si="9"/>
        <v>2.25</v>
      </c>
      <c r="Y39" s="46">
        <v>3</v>
      </c>
      <c r="Z39" s="46">
        <f t="shared" si="7"/>
        <v>3.6000000000000005</v>
      </c>
      <c r="AA39" s="46">
        <f t="shared" si="6"/>
        <v>7.2</v>
      </c>
      <c r="AC39" s="44">
        <v>36</v>
      </c>
      <c r="AD39" s="46"/>
      <c r="AE39" s="46"/>
      <c r="AF39" s="46"/>
      <c r="AG39" s="46"/>
      <c r="AH39" s="46"/>
      <c r="AO39">
        <v>36</v>
      </c>
      <c r="AP39" s="1" t="s">
        <v>511</v>
      </c>
      <c r="AQ39" s="30">
        <v>30</v>
      </c>
      <c r="AR39" s="30">
        <v>70</v>
      </c>
    </row>
    <row r="40" spans="1:44" ht="15.95" customHeight="1" x14ac:dyDescent="0.25">
      <c r="A40" s="29" t="s">
        <v>77</v>
      </c>
      <c r="B40" s="31">
        <v>0.29583333333333334</v>
      </c>
      <c r="C40" s="31">
        <v>0.71597222222222223</v>
      </c>
      <c r="D40" s="31">
        <v>0.22777777777777777</v>
      </c>
      <c r="E40" s="31">
        <v>0.78402777777777777</v>
      </c>
      <c r="F40" s="31">
        <v>0.25138888888888888</v>
      </c>
      <c r="G40" s="31">
        <v>0.76111111111111107</v>
      </c>
      <c r="H40" s="31">
        <v>0.27499999999999997</v>
      </c>
      <c r="I40" s="31">
        <v>0.73749999999999993</v>
      </c>
      <c r="J40" s="31">
        <v>0.50555555555555554</v>
      </c>
      <c r="K40" s="30">
        <f>((K64-K35)/29)+K39</f>
        <v>39.37931034482758</v>
      </c>
      <c r="L40" s="30">
        <f>((L64-L35)/29)+L39</f>
        <v>31.37931034482758</v>
      </c>
      <c r="M40" s="90">
        <v>29.951724137931031</v>
      </c>
      <c r="N40" s="89">
        <f t="shared" si="11"/>
        <v>4.710344827586205</v>
      </c>
      <c r="O40" s="106">
        <f t="shared" si="12"/>
        <v>41.689655172413808</v>
      </c>
      <c r="P40" s="108">
        <v>18.531034482758621</v>
      </c>
      <c r="Q40" s="108">
        <v>11</v>
      </c>
      <c r="R40" s="107">
        <v>22.172413793103452</v>
      </c>
      <c r="S40" s="41" t="s">
        <v>433</v>
      </c>
      <c r="T40" s="41" t="s">
        <v>435</v>
      </c>
      <c r="U40" s="33"/>
      <c r="V40" s="44">
        <v>37</v>
      </c>
      <c r="W40" s="46">
        <f t="shared" si="10"/>
        <v>1.4800000000000004</v>
      </c>
      <c r="X40" s="46">
        <f t="shared" si="9"/>
        <v>2.3125</v>
      </c>
      <c r="Y40" s="46">
        <f t="shared" si="8"/>
        <v>3.0833333333333335</v>
      </c>
      <c r="Z40" s="46">
        <f t="shared" si="7"/>
        <v>3.7000000000000006</v>
      </c>
      <c r="AA40" s="46">
        <f t="shared" si="6"/>
        <v>7.4</v>
      </c>
      <c r="AC40" s="44">
        <v>37</v>
      </c>
      <c r="AD40" s="46"/>
      <c r="AE40" s="46"/>
      <c r="AF40" s="46"/>
      <c r="AG40" s="46"/>
      <c r="AH40" s="46"/>
      <c r="AO40">
        <v>37</v>
      </c>
      <c r="AP40" s="1" t="s">
        <v>511</v>
      </c>
      <c r="AQ40" s="30">
        <v>30</v>
      </c>
      <c r="AR40" s="30">
        <v>70</v>
      </c>
    </row>
    <row r="41" spans="1:44" ht="15.95" customHeight="1" x14ac:dyDescent="0.25">
      <c r="A41" s="29" t="s">
        <v>78</v>
      </c>
      <c r="B41" s="31">
        <v>0.2951388888888889</v>
      </c>
      <c r="C41" s="31">
        <v>0.71736111111111101</v>
      </c>
      <c r="D41" s="31">
        <v>0.22708333333333333</v>
      </c>
      <c r="E41" s="31">
        <v>0.78472222222222221</v>
      </c>
      <c r="F41" s="31">
        <v>0.25</v>
      </c>
      <c r="G41" s="31">
        <v>0.76180555555555562</v>
      </c>
      <c r="H41" s="31">
        <v>0.27361111111111108</v>
      </c>
      <c r="I41" s="31">
        <v>0.73819444444444438</v>
      </c>
      <c r="J41" s="31">
        <v>0.50555555555555554</v>
      </c>
      <c r="K41" s="30">
        <f>((K64-K35)/29)+K40</f>
        <v>39.655172413793096</v>
      </c>
      <c r="L41" s="30">
        <f>((L64-L35)/29)+L40</f>
        <v>31.655172413793096</v>
      </c>
      <c r="M41" s="90">
        <v>30.262068965517237</v>
      </c>
      <c r="N41" s="89">
        <f t="shared" si="11"/>
        <v>4.8724137931034459</v>
      </c>
      <c r="O41" s="106">
        <f t="shared" si="12"/>
        <v>41.827586206896569</v>
      </c>
      <c r="P41" s="108">
        <v>18.717241379310344</v>
      </c>
      <c r="Q41" s="108">
        <v>11</v>
      </c>
      <c r="R41" s="107">
        <v>22.206896551724142</v>
      </c>
      <c r="S41" s="41" t="s">
        <v>433</v>
      </c>
      <c r="T41" s="41" t="s">
        <v>435</v>
      </c>
      <c r="U41" s="33"/>
      <c r="V41" s="44">
        <v>38</v>
      </c>
      <c r="W41" s="46">
        <f t="shared" si="10"/>
        <v>1.5200000000000005</v>
      </c>
      <c r="X41" s="46">
        <f t="shared" si="9"/>
        <v>2.375</v>
      </c>
      <c r="Y41" s="46">
        <f t="shared" si="8"/>
        <v>3.166666666666667</v>
      </c>
      <c r="Z41" s="46">
        <f t="shared" si="7"/>
        <v>3.8000000000000007</v>
      </c>
      <c r="AA41" s="46">
        <f t="shared" si="6"/>
        <v>7.6000000000000005</v>
      </c>
      <c r="AC41" s="44">
        <v>38</v>
      </c>
      <c r="AD41" s="46"/>
      <c r="AE41" s="46"/>
      <c r="AF41" s="46"/>
      <c r="AG41" s="46"/>
      <c r="AH41" s="46"/>
      <c r="AO41">
        <v>38</v>
      </c>
      <c r="AP41" s="1" t="s">
        <v>511</v>
      </c>
      <c r="AQ41" s="30">
        <v>30</v>
      </c>
      <c r="AR41" s="30">
        <v>70</v>
      </c>
    </row>
    <row r="42" spans="1:44" ht="15.95" customHeight="1" x14ac:dyDescent="0.25">
      <c r="A42" s="29" t="s">
        <v>79</v>
      </c>
      <c r="B42" s="31">
        <v>0.29375000000000001</v>
      </c>
      <c r="C42" s="31">
        <v>0.71805555555555556</v>
      </c>
      <c r="D42" s="31">
        <v>0.22638888888888889</v>
      </c>
      <c r="E42" s="31">
        <v>0.78611111111111109</v>
      </c>
      <c r="F42" s="31">
        <v>0.24930555555555556</v>
      </c>
      <c r="G42" s="31">
        <v>0.76250000000000007</v>
      </c>
      <c r="H42" s="31">
        <v>0.27291666666666664</v>
      </c>
      <c r="I42" s="31">
        <v>0.73888888888888893</v>
      </c>
      <c r="J42" s="31">
        <v>0.50555555555555554</v>
      </c>
      <c r="K42" s="30">
        <f>((K64-K35)/29)+K41</f>
        <v>39.931034482758612</v>
      </c>
      <c r="L42" s="30">
        <f>((L64-L35)/29)+L41</f>
        <v>31.931034482758612</v>
      </c>
      <c r="M42" s="90">
        <v>30.572413793103443</v>
      </c>
      <c r="N42" s="89">
        <f t="shared" si="11"/>
        <v>5.0344827586206868</v>
      </c>
      <c r="O42" s="106">
        <f t="shared" si="12"/>
        <v>41.965517241379331</v>
      </c>
      <c r="P42" s="108">
        <v>18.903448275862068</v>
      </c>
      <c r="Q42" s="108">
        <v>11</v>
      </c>
      <c r="R42" s="107">
        <v>22.241379310344833</v>
      </c>
      <c r="S42" s="41" t="s">
        <v>433</v>
      </c>
      <c r="T42" s="41" t="s">
        <v>435</v>
      </c>
      <c r="U42" s="33"/>
      <c r="V42" s="44">
        <v>39</v>
      </c>
      <c r="W42" s="46">
        <f t="shared" si="10"/>
        <v>1.5600000000000005</v>
      </c>
      <c r="X42" s="46">
        <f t="shared" si="9"/>
        <v>2.4375</v>
      </c>
      <c r="Y42" s="46">
        <f t="shared" si="8"/>
        <v>3.2500000000000004</v>
      </c>
      <c r="Z42" s="46">
        <f t="shared" si="7"/>
        <v>3.9000000000000008</v>
      </c>
      <c r="AA42" s="46">
        <f t="shared" si="6"/>
        <v>7.8000000000000007</v>
      </c>
      <c r="AC42" s="44">
        <v>39</v>
      </c>
      <c r="AD42" s="46"/>
      <c r="AE42" s="46"/>
      <c r="AF42" s="46"/>
      <c r="AG42" s="46"/>
      <c r="AH42" s="46"/>
      <c r="AO42">
        <v>39</v>
      </c>
      <c r="AP42" s="1" t="s">
        <v>506</v>
      </c>
      <c r="AQ42" s="30">
        <v>30</v>
      </c>
    </row>
    <row r="43" spans="1:44" ht="15.95" customHeight="1" x14ac:dyDescent="0.25">
      <c r="A43" s="29" t="s">
        <v>80</v>
      </c>
      <c r="B43" s="31">
        <v>0.29305555555555557</v>
      </c>
      <c r="C43" s="31">
        <v>0.71875</v>
      </c>
      <c r="D43" s="31">
        <v>0.22569444444444445</v>
      </c>
      <c r="E43" s="31">
        <v>0.78680555555555554</v>
      </c>
      <c r="F43" s="31">
        <v>0.24861111111111112</v>
      </c>
      <c r="G43" s="31">
        <v>0.7631944444444444</v>
      </c>
      <c r="H43" s="31">
        <v>0.2722222222222222</v>
      </c>
      <c r="I43" s="31">
        <v>0.73958333333333337</v>
      </c>
      <c r="J43" s="31">
        <v>0.50555555555555554</v>
      </c>
      <c r="K43" s="30">
        <f>((K64-K35)/29)+K42</f>
        <v>40.206896551724128</v>
      </c>
      <c r="L43" s="30">
        <f>((L64-L35)/29)+L42</f>
        <v>32.206896551724128</v>
      </c>
      <c r="M43" s="90">
        <v>30.88275862068965</v>
      </c>
      <c r="N43" s="89">
        <f t="shared" si="11"/>
        <v>5.1965517241379278</v>
      </c>
      <c r="O43" s="106">
        <f t="shared" si="12"/>
        <v>42.103448275862092</v>
      </c>
      <c r="P43" s="108">
        <v>19.089655172413792</v>
      </c>
      <c r="Q43" s="108">
        <v>11</v>
      </c>
      <c r="R43" s="107">
        <v>22.275862068965523</v>
      </c>
      <c r="S43" s="41" t="s">
        <v>433</v>
      </c>
      <c r="T43" s="41" t="s">
        <v>435</v>
      </c>
      <c r="U43" s="33"/>
      <c r="V43" s="44">
        <v>40</v>
      </c>
      <c r="W43" s="46">
        <f t="shared" si="10"/>
        <v>1.6000000000000005</v>
      </c>
      <c r="X43" s="46">
        <f t="shared" si="9"/>
        <v>2.5</v>
      </c>
      <c r="Y43" s="46">
        <f t="shared" si="8"/>
        <v>3.3333333333333339</v>
      </c>
      <c r="Z43" s="46">
        <v>4</v>
      </c>
      <c r="AA43" s="46">
        <v>8</v>
      </c>
      <c r="AC43" s="44">
        <v>40</v>
      </c>
      <c r="AD43" s="46"/>
      <c r="AE43" s="46"/>
      <c r="AF43" s="46"/>
      <c r="AG43" s="46"/>
      <c r="AH43" s="46"/>
      <c r="AO43">
        <v>40</v>
      </c>
      <c r="AP43" s="1" t="s">
        <v>506</v>
      </c>
      <c r="AQ43" s="30">
        <v>30</v>
      </c>
    </row>
    <row r="44" spans="1:44" ht="15.95" customHeight="1" x14ac:dyDescent="0.25">
      <c r="A44" s="29" t="s">
        <v>81</v>
      </c>
      <c r="B44" s="31">
        <v>0.29236111111111113</v>
      </c>
      <c r="C44" s="31">
        <v>0.72013888888888899</v>
      </c>
      <c r="D44" s="31">
        <v>0.22430555555555556</v>
      </c>
      <c r="E44" s="31">
        <v>0.78749999999999998</v>
      </c>
      <c r="F44" s="31">
        <v>0.24791666666666667</v>
      </c>
      <c r="G44" s="31">
        <v>0.76458333333333339</v>
      </c>
      <c r="H44" s="31">
        <v>0.27152777777777776</v>
      </c>
      <c r="I44" s="31">
        <v>0.74097222222222225</v>
      </c>
      <c r="J44" s="31">
        <v>0.50555555555555554</v>
      </c>
      <c r="K44" s="30">
        <f>((K64-K35)/29)+K43</f>
        <v>40.482758620689644</v>
      </c>
      <c r="L44" s="30">
        <f>((L64-L35)/29)+L43</f>
        <v>32.482758620689644</v>
      </c>
      <c r="M44" s="90">
        <v>31.193103448275856</v>
      </c>
      <c r="N44" s="89">
        <f t="shared" si="11"/>
        <v>5.3586206896551687</v>
      </c>
      <c r="O44" s="106">
        <f t="shared" si="12"/>
        <v>42.241379310344854</v>
      </c>
      <c r="P44" s="108">
        <v>19.275862068965516</v>
      </c>
      <c r="Q44" s="108">
        <v>11</v>
      </c>
      <c r="R44" s="107">
        <v>22.310344827586214</v>
      </c>
      <c r="S44" s="41" t="s">
        <v>433</v>
      </c>
      <c r="T44" s="41" t="s">
        <v>435</v>
      </c>
      <c r="U44" s="33"/>
      <c r="V44" s="44">
        <v>41</v>
      </c>
      <c r="W44" s="46">
        <f t="shared" si="10"/>
        <v>1.6400000000000006</v>
      </c>
      <c r="X44" s="46">
        <f t="shared" si="9"/>
        <v>2.5625</v>
      </c>
      <c r="Y44" s="46">
        <f t="shared" si="8"/>
        <v>3.4166666666666674</v>
      </c>
      <c r="Z44" s="46">
        <f t="shared" si="7"/>
        <v>4.0999999999999996</v>
      </c>
      <c r="AA44" s="46">
        <f t="shared" si="6"/>
        <v>8.1999999999999993</v>
      </c>
      <c r="AC44" s="44">
        <v>41</v>
      </c>
      <c r="AD44" s="46"/>
      <c r="AE44" s="46"/>
      <c r="AF44" s="46"/>
      <c r="AG44" s="46"/>
      <c r="AH44" s="46"/>
      <c r="AO44">
        <v>41</v>
      </c>
      <c r="AP44" s="1" t="s">
        <v>512</v>
      </c>
      <c r="AQ44" s="30">
        <v>25</v>
      </c>
    </row>
    <row r="45" spans="1:44" ht="15.95" customHeight="1" x14ac:dyDescent="0.25">
      <c r="A45" s="29" t="s">
        <v>82</v>
      </c>
      <c r="B45" s="31">
        <v>0.29097222222222224</v>
      </c>
      <c r="C45" s="31">
        <v>0.72083333333333333</v>
      </c>
      <c r="D45" s="31">
        <v>0.22361111111111109</v>
      </c>
      <c r="E45" s="31">
        <v>0.78819444444444453</v>
      </c>
      <c r="F45" s="31">
        <v>0.24722222222222223</v>
      </c>
      <c r="G45" s="31">
        <v>0.76527777777777783</v>
      </c>
      <c r="H45" s="31">
        <v>0.27013888888888887</v>
      </c>
      <c r="I45" s="31">
        <v>0.7416666666666667</v>
      </c>
      <c r="J45" s="31">
        <v>0.50555555555555554</v>
      </c>
      <c r="K45" s="30">
        <f>((K64-K35)/29)+K44</f>
        <v>40.75862068965516</v>
      </c>
      <c r="L45" s="30">
        <f>((L64-L35)/29)+L44</f>
        <v>32.75862068965516</v>
      </c>
      <c r="M45" s="90">
        <v>31.503448275862063</v>
      </c>
      <c r="N45" s="89">
        <f t="shared" si="11"/>
        <v>5.5206896551724096</v>
      </c>
      <c r="O45" s="106">
        <f t="shared" si="12"/>
        <v>42.379310344827616</v>
      </c>
      <c r="P45" s="108">
        <v>19.46206896551724</v>
      </c>
      <c r="Q45" s="108">
        <v>11</v>
      </c>
      <c r="R45" s="107">
        <v>22.344827586206904</v>
      </c>
      <c r="S45" s="41" t="s">
        <v>433</v>
      </c>
      <c r="T45" s="41" t="s">
        <v>435</v>
      </c>
      <c r="U45" s="33"/>
      <c r="V45" s="44">
        <v>42</v>
      </c>
      <c r="W45" s="46">
        <f t="shared" si="10"/>
        <v>1.6800000000000006</v>
      </c>
      <c r="X45" s="46">
        <f t="shared" si="9"/>
        <v>2.625</v>
      </c>
      <c r="Y45" s="46">
        <f t="shared" si="8"/>
        <v>3.5000000000000009</v>
      </c>
      <c r="Z45" s="46">
        <f t="shared" si="7"/>
        <v>4.1999999999999993</v>
      </c>
      <c r="AA45" s="46">
        <f t="shared" si="6"/>
        <v>8.3999999999999986</v>
      </c>
      <c r="AC45" s="44">
        <v>42</v>
      </c>
      <c r="AD45" s="46"/>
      <c r="AE45" s="46"/>
      <c r="AF45" s="46"/>
      <c r="AG45" s="46"/>
      <c r="AH45" s="46"/>
      <c r="AO45">
        <v>42</v>
      </c>
      <c r="AP45" s="1" t="s">
        <v>512</v>
      </c>
      <c r="AQ45" s="30">
        <v>25</v>
      </c>
    </row>
    <row r="46" spans="1:44" ht="15.95" customHeight="1" x14ac:dyDescent="0.25">
      <c r="A46" s="29" t="s">
        <v>83</v>
      </c>
      <c r="B46" s="31">
        <v>0.2902777777777778</v>
      </c>
      <c r="C46" s="31">
        <v>0.72222222222222221</v>
      </c>
      <c r="D46" s="31">
        <v>0.22291666666666665</v>
      </c>
      <c r="E46" s="31">
        <v>0.7895833333333333</v>
      </c>
      <c r="F46" s="31">
        <v>0.24583333333333335</v>
      </c>
      <c r="G46" s="31">
        <v>0.76597222222222217</v>
      </c>
      <c r="H46" s="31">
        <v>0.26944444444444443</v>
      </c>
      <c r="I46" s="31">
        <v>0.74236111111111114</v>
      </c>
      <c r="J46" s="31">
        <v>0.50555555555555554</v>
      </c>
      <c r="K46" s="30">
        <f>((K64-K35)/29)+K45</f>
        <v>41.034482758620676</v>
      </c>
      <c r="L46" s="30">
        <f>((L64-L35)/29)+L45</f>
        <v>33.034482758620676</v>
      </c>
      <c r="M46" s="90">
        <v>31.813793103448269</v>
      </c>
      <c r="N46" s="89">
        <f t="shared" si="11"/>
        <v>5.6827586206896505</v>
      </c>
      <c r="O46" s="106">
        <f t="shared" si="12"/>
        <v>42.517241379310377</v>
      </c>
      <c r="P46" s="108">
        <v>19.648275862068964</v>
      </c>
      <c r="Q46" s="108">
        <v>11</v>
      </c>
      <c r="R46" s="107">
        <v>22.379310344827594</v>
      </c>
      <c r="S46" s="41" t="s">
        <v>433</v>
      </c>
      <c r="T46" s="41" t="s">
        <v>435</v>
      </c>
      <c r="U46" s="33"/>
      <c r="V46" s="44">
        <v>43</v>
      </c>
      <c r="W46" s="46">
        <f t="shared" si="10"/>
        <v>1.7200000000000006</v>
      </c>
      <c r="X46" s="46">
        <f t="shared" si="9"/>
        <v>2.6875</v>
      </c>
      <c r="Y46" s="46">
        <f t="shared" si="8"/>
        <v>3.5833333333333344</v>
      </c>
      <c r="Z46" s="46">
        <f t="shared" si="7"/>
        <v>4.2999999999999989</v>
      </c>
      <c r="AA46" s="46">
        <f t="shared" si="6"/>
        <v>8.5999999999999979</v>
      </c>
      <c r="AC46" s="44">
        <v>43</v>
      </c>
      <c r="AD46" s="46"/>
      <c r="AE46" s="46"/>
      <c r="AF46" s="46"/>
      <c r="AG46" s="46"/>
      <c r="AH46" s="46"/>
      <c r="AO46">
        <v>43</v>
      </c>
      <c r="AP46" s="1" t="s">
        <v>512</v>
      </c>
      <c r="AQ46" s="30">
        <v>25</v>
      </c>
    </row>
    <row r="47" spans="1:44" ht="15.95" customHeight="1" x14ac:dyDescent="0.25">
      <c r="A47" s="29" t="s">
        <v>84</v>
      </c>
      <c r="B47" s="31">
        <v>0.28958333333333336</v>
      </c>
      <c r="C47" s="31">
        <v>0.72291666666666676</v>
      </c>
      <c r="D47" s="31">
        <v>0.22222222222222221</v>
      </c>
      <c r="E47" s="31">
        <v>0.79027777777777775</v>
      </c>
      <c r="F47" s="31">
        <v>0.24513888888888888</v>
      </c>
      <c r="G47" s="31">
        <v>0.76666666666666661</v>
      </c>
      <c r="H47" s="31">
        <v>0.26874999999999999</v>
      </c>
      <c r="I47" s="31">
        <v>0.74375000000000002</v>
      </c>
      <c r="J47" s="31">
        <v>0.50555555555555554</v>
      </c>
      <c r="K47" s="30">
        <f>((K64-K35)/29)+K46</f>
        <v>41.310344827586192</v>
      </c>
      <c r="L47" s="30">
        <f>((L64-L35)/29)+L46</f>
        <v>33.310344827586192</v>
      </c>
      <c r="M47" s="90">
        <v>32.124137931034475</v>
      </c>
      <c r="N47" s="89">
        <f t="shared" si="11"/>
        <v>5.8448275862068915</v>
      </c>
      <c r="O47" s="106">
        <f t="shared" si="12"/>
        <v>42.655172413793139</v>
      </c>
      <c r="P47" s="108">
        <v>19.834482758620688</v>
      </c>
      <c r="Q47" s="108">
        <v>11</v>
      </c>
      <c r="R47" s="107">
        <v>22.413793103448285</v>
      </c>
      <c r="S47" s="41" t="s">
        <v>433</v>
      </c>
      <c r="T47" s="41" t="s">
        <v>435</v>
      </c>
      <c r="U47" s="33"/>
      <c r="V47" s="44">
        <v>44</v>
      </c>
      <c r="W47" s="46">
        <f t="shared" si="10"/>
        <v>1.7600000000000007</v>
      </c>
      <c r="X47" s="46">
        <f t="shared" si="9"/>
        <v>2.75</v>
      </c>
      <c r="Y47" s="46">
        <f t="shared" si="8"/>
        <v>3.6666666666666679</v>
      </c>
      <c r="Z47" s="46">
        <f t="shared" si="7"/>
        <v>4.3999999999999986</v>
      </c>
      <c r="AA47" s="46">
        <f t="shared" si="6"/>
        <v>8.7999999999999972</v>
      </c>
      <c r="AC47" s="44">
        <v>44</v>
      </c>
      <c r="AD47" s="46"/>
      <c r="AE47" s="46"/>
      <c r="AF47" s="46"/>
      <c r="AG47" s="46"/>
      <c r="AH47" s="46"/>
      <c r="AO47">
        <v>44</v>
      </c>
      <c r="AP47" s="1" t="s">
        <v>512</v>
      </c>
      <c r="AQ47" s="30">
        <v>25</v>
      </c>
    </row>
    <row r="48" spans="1:44" ht="15.95" customHeight="1" x14ac:dyDescent="0.25">
      <c r="A48" s="29" t="s">
        <v>85</v>
      </c>
      <c r="B48" s="31">
        <v>0.28819444444444448</v>
      </c>
      <c r="C48" s="31">
        <v>0.72361111111111109</v>
      </c>
      <c r="D48" s="31">
        <v>0.22152777777777777</v>
      </c>
      <c r="E48" s="31">
        <v>0.7909722222222223</v>
      </c>
      <c r="F48" s="31">
        <v>0.24444444444444446</v>
      </c>
      <c r="G48" s="31">
        <v>0.7680555555555556</v>
      </c>
      <c r="H48" s="31">
        <v>0.26805555555555555</v>
      </c>
      <c r="I48" s="31">
        <v>0.74444444444444446</v>
      </c>
      <c r="J48" s="31">
        <v>0.50555555555555554</v>
      </c>
      <c r="K48" s="30">
        <f>((K64-K35)/29)+K47</f>
        <v>41.586206896551708</v>
      </c>
      <c r="L48" s="30">
        <f>((L64-L35)/29)+L47</f>
        <v>33.586206896551708</v>
      </c>
      <c r="M48" s="90">
        <v>32.434482758620682</v>
      </c>
      <c r="N48" s="89">
        <f t="shared" si="11"/>
        <v>6.0068965517241324</v>
      </c>
      <c r="O48" s="106">
        <f t="shared" si="12"/>
        <v>42.7931034482759</v>
      </c>
      <c r="P48" s="108">
        <v>20.020689655172411</v>
      </c>
      <c r="Q48" s="108">
        <v>11</v>
      </c>
      <c r="R48" s="107">
        <v>22.448275862068975</v>
      </c>
      <c r="S48" s="41" t="s">
        <v>433</v>
      </c>
      <c r="T48" s="41" t="s">
        <v>435</v>
      </c>
      <c r="U48" s="33"/>
      <c r="V48" s="44">
        <v>45</v>
      </c>
      <c r="W48" s="46">
        <f t="shared" si="10"/>
        <v>1.8000000000000007</v>
      </c>
      <c r="X48" s="46">
        <f t="shared" si="9"/>
        <v>2.8125</v>
      </c>
      <c r="Y48" s="46">
        <f t="shared" si="8"/>
        <v>3.7500000000000013</v>
      </c>
      <c r="Z48" s="46">
        <f t="shared" si="7"/>
        <v>4.4999999999999982</v>
      </c>
      <c r="AA48" s="46">
        <v>9</v>
      </c>
      <c r="AC48" s="44">
        <v>45</v>
      </c>
      <c r="AD48" s="46"/>
      <c r="AE48" s="46"/>
      <c r="AF48" s="46"/>
      <c r="AG48" s="46"/>
      <c r="AH48" s="46"/>
      <c r="AO48">
        <v>45</v>
      </c>
      <c r="AP48" s="1" t="s">
        <v>512</v>
      </c>
      <c r="AQ48" s="30">
        <v>25</v>
      </c>
    </row>
    <row r="49" spans="1:43" ht="15.95" customHeight="1" x14ac:dyDescent="0.25">
      <c r="A49" s="29" t="s">
        <v>86</v>
      </c>
      <c r="B49" s="31">
        <v>0.28750000000000003</v>
      </c>
      <c r="C49" s="31">
        <v>0.72499999999999998</v>
      </c>
      <c r="D49" s="31">
        <v>0.22013888888888888</v>
      </c>
      <c r="E49" s="31">
        <v>0.79166666666666663</v>
      </c>
      <c r="F49" s="31">
        <v>0.24305555555555555</v>
      </c>
      <c r="G49" s="31">
        <v>0.76874999999999993</v>
      </c>
      <c r="H49" s="31">
        <v>0.26666666666666666</v>
      </c>
      <c r="I49" s="31">
        <v>0.74513888888888891</v>
      </c>
      <c r="J49" s="31">
        <v>0.50555555555555554</v>
      </c>
      <c r="K49" s="30">
        <f>((K64-K35)/29)+K48</f>
        <v>41.862068965517224</v>
      </c>
      <c r="L49" s="30">
        <f>((L64-L35)/29)+L48</f>
        <v>33.862068965517224</v>
      </c>
      <c r="M49" s="90">
        <v>32.744827586206888</v>
      </c>
      <c r="N49" s="89">
        <f t="shared" si="11"/>
        <v>6.1689655172413733</v>
      </c>
      <c r="O49" s="106">
        <f t="shared" si="12"/>
        <v>42.931034482758662</v>
      </c>
      <c r="P49" s="108">
        <v>20.206896551724135</v>
      </c>
      <c r="Q49" s="108">
        <v>11</v>
      </c>
      <c r="R49" s="107">
        <v>22.482758620689665</v>
      </c>
      <c r="S49" s="41" t="s">
        <v>433</v>
      </c>
      <c r="T49" s="41" t="s">
        <v>435</v>
      </c>
      <c r="U49" s="33"/>
      <c r="V49" s="44">
        <v>46</v>
      </c>
      <c r="W49" s="46">
        <f t="shared" si="10"/>
        <v>1.8400000000000007</v>
      </c>
      <c r="X49" s="46">
        <f t="shared" si="9"/>
        <v>2.875</v>
      </c>
      <c r="Y49" s="46">
        <f t="shared" si="8"/>
        <v>3.8333333333333348</v>
      </c>
      <c r="Z49" s="46">
        <f t="shared" si="7"/>
        <v>4.5999999999999979</v>
      </c>
      <c r="AA49" s="46">
        <f t="shared" si="6"/>
        <v>9.1999999999999993</v>
      </c>
      <c r="AC49" s="44">
        <v>46</v>
      </c>
      <c r="AD49" s="46"/>
      <c r="AE49" s="46"/>
      <c r="AF49" s="46"/>
      <c r="AG49" s="46"/>
      <c r="AH49" s="46"/>
      <c r="AO49">
        <v>46</v>
      </c>
      <c r="AP49" s="1" t="s">
        <v>507</v>
      </c>
      <c r="AQ49" s="30">
        <v>25</v>
      </c>
    </row>
    <row r="50" spans="1:43" ht="15.95" customHeight="1" x14ac:dyDescent="0.25">
      <c r="A50" s="29" t="s">
        <v>87</v>
      </c>
      <c r="B50" s="31">
        <v>0.28611111111111115</v>
      </c>
      <c r="C50" s="31">
        <v>0.72569444444444453</v>
      </c>
      <c r="D50" s="31">
        <v>0.21944444444444444</v>
      </c>
      <c r="E50" s="31">
        <v>0.79236111111111107</v>
      </c>
      <c r="F50" s="31">
        <v>0.24236111111111111</v>
      </c>
      <c r="G50" s="31">
        <v>0.76944444444444438</v>
      </c>
      <c r="H50" s="31">
        <v>0.26597222222222222</v>
      </c>
      <c r="I50" s="31">
        <v>0.74583333333333324</v>
      </c>
      <c r="J50" s="31">
        <v>0.50555555555555554</v>
      </c>
      <c r="K50" s="30">
        <f>((K64-K35)/29)+K49</f>
        <v>42.13793103448274</v>
      </c>
      <c r="L50" s="30">
        <f>((L64-L35)/29)+L49</f>
        <v>34.13793103448274</v>
      </c>
      <c r="M50" s="90">
        <v>33.055172413793095</v>
      </c>
      <c r="N50" s="89">
        <f t="shared" si="11"/>
        <v>6.3310344827586142</v>
      </c>
      <c r="O50" s="106">
        <f t="shared" si="12"/>
        <v>43.068965517241423</v>
      </c>
      <c r="P50" s="108">
        <v>20.393103448275859</v>
      </c>
      <c r="Q50" s="108">
        <v>11</v>
      </c>
      <c r="R50" s="107">
        <v>22.517241379310356</v>
      </c>
      <c r="S50" s="41" t="s">
        <v>433</v>
      </c>
      <c r="T50" s="41" t="s">
        <v>435</v>
      </c>
      <c r="U50" s="33"/>
      <c r="V50" s="44">
        <v>47</v>
      </c>
      <c r="W50" s="46">
        <f t="shared" si="10"/>
        <v>1.8800000000000008</v>
      </c>
      <c r="X50" s="46">
        <f t="shared" si="9"/>
        <v>2.9375</v>
      </c>
      <c r="Y50" s="46">
        <f t="shared" si="8"/>
        <v>3.9166666666666683</v>
      </c>
      <c r="Z50" s="46">
        <f t="shared" si="7"/>
        <v>4.6999999999999975</v>
      </c>
      <c r="AA50" s="46">
        <f t="shared" si="6"/>
        <v>9.3999999999999986</v>
      </c>
      <c r="AC50" s="44">
        <v>47</v>
      </c>
      <c r="AD50" s="46"/>
      <c r="AE50" s="46"/>
      <c r="AF50" s="46"/>
      <c r="AG50" s="46"/>
      <c r="AH50" s="46"/>
      <c r="AO50">
        <v>47</v>
      </c>
      <c r="AP50" s="1" t="s">
        <v>507</v>
      </c>
      <c r="AQ50" s="30">
        <v>25</v>
      </c>
    </row>
    <row r="51" spans="1:43" ht="15.95" customHeight="1" x14ac:dyDescent="0.25">
      <c r="A51" s="29" t="s">
        <v>88</v>
      </c>
      <c r="B51" s="31">
        <v>0.28541666666666665</v>
      </c>
      <c r="C51" s="31">
        <v>0.72638888888888886</v>
      </c>
      <c r="D51" s="31">
        <v>0.21875</v>
      </c>
      <c r="E51" s="31">
        <v>0.79375000000000007</v>
      </c>
      <c r="F51" s="31">
        <v>0.24166666666666667</v>
      </c>
      <c r="G51" s="31">
        <v>0.77013888888888893</v>
      </c>
      <c r="H51" s="31">
        <v>0.26458333333333334</v>
      </c>
      <c r="I51" s="31">
        <v>0.74722222222222223</v>
      </c>
      <c r="J51" s="31">
        <v>0.50555555555555554</v>
      </c>
      <c r="K51" s="30">
        <f>((K64-K35)/29)+K50</f>
        <v>42.413793103448256</v>
      </c>
      <c r="L51" s="30">
        <f>((L64-L35)/29)+L50</f>
        <v>34.413793103448256</v>
      </c>
      <c r="M51" s="90">
        <v>33.365517241379301</v>
      </c>
      <c r="N51" s="89">
        <f t="shared" si="11"/>
        <v>6.4931034482758552</v>
      </c>
      <c r="O51" s="106">
        <f t="shared" si="12"/>
        <v>43.206896551724185</v>
      </c>
      <c r="P51" s="108">
        <v>20.579310344827583</v>
      </c>
      <c r="Q51" s="108">
        <v>11</v>
      </c>
      <c r="R51" s="107">
        <v>22.551724137931046</v>
      </c>
      <c r="S51" s="41" t="s">
        <v>433</v>
      </c>
      <c r="T51" s="41" t="s">
        <v>435</v>
      </c>
      <c r="U51" s="33"/>
      <c r="V51" s="44">
        <v>48</v>
      </c>
      <c r="W51" s="46">
        <f t="shared" si="10"/>
        <v>1.9200000000000008</v>
      </c>
      <c r="X51" s="47">
        <v>3</v>
      </c>
      <c r="Y51" s="46">
        <v>4</v>
      </c>
      <c r="Z51" s="46">
        <f t="shared" si="7"/>
        <v>4.7999999999999972</v>
      </c>
      <c r="AA51" s="46">
        <f t="shared" si="6"/>
        <v>9.5999999999999979</v>
      </c>
      <c r="AC51" s="44">
        <v>48</v>
      </c>
      <c r="AD51" s="46"/>
      <c r="AE51" s="47"/>
      <c r="AF51" s="46"/>
      <c r="AG51" s="46"/>
      <c r="AH51" s="46"/>
      <c r="AO51">
        <v>48</v>
      </c>
      <c r="AP51" s="1" t="s">
        <v>507</v>
      </c>
      <c r="AQ51" s="30">
        <v>25</v>
      </c>
    </row>
    <row r="52" spans="1:43" ht="15.95" customHeight="1" x14ac:dyDescent="0.25">
      <c r="A52" s="29" t="s">
        <v>89</v>
      </c>
      <c r="B52" s="31">
        <v>0.28402777777777777</v>
      </c>
      <c r="C52" s="31">
        <v>0.72777777777777775</v>
      </c>
      <c r="D52" s="31">
        <v>0.21736111111111112</v>
      </c>
      <c r="E52" s="31">
        <v>0.7944444444444444</v>
      </c>
      <c r="F52" s="31">
        <v>0.24027777777777778</v>
      </c>
      <c r="G52" s="31">
        <v>0.7715277777777777</v>
      </c>
      <c r="H52" s="31">
        <v>0.2638888888888889</v>
      </c>
      <c r="I52" s="31">
        <v>0.74791666666666667</v>
      </c>
      <c r="J52" s="31">
        <v>0.50555555555555554</v>
      </c>
      <c r="K52" s="30">
        <f>((K64-K35)/29)+K51</f>
        <v>42.689655172413772</v>
      </c>
      <c r="L52" s="30">
        <f>((L64-L35)/29)+L51</f>
        <v>34.689655172413772</v>
      </c>
      <c r="M52" s="90">
        <v>33.675862068965507</v>
      </c>
      <c r="N52" s="89">
        <f t="shared" si="11"/>
        <v>6.6551724137930961</v>
      </c>
      <c r="O52" s="106">
        <f t="shared" si="12"/>
        <v>43.344827586206947</v>
      </c>
      <c r="P52" s="108">
        <v>20.765517241379307</v>
      </c>
      <c r="Q52" s="108">
        <v>11</v>
      </c>
      <c r="R52" s="107">
        <v>22.586206896551737</v>
      </c>
      <c r="S52" s="41" t="s">
        <v>433</v>
      </c>
      <c r="T52" s="41" t="s">
        <v>435</v>
      </c>
      <c r="U52" s="33"/>
      <c r="V52" s="44">
        <v>49</v>
      </c>
      <c r="W52" s="46">
        <f t="shared" si="10"/>
        <v>1.9600000000000009</v>
      </c>
      <c r="X52" s="46">
        <f t="shared" si="9"/>
        <v>3.0625</v>
      </c>
      <c r="Y52" s="46">
        <f t="shared" si="8"/>
        <v>4.083333333333333</v>
      </c>
      <c r="Z52" s="46">
        <f t="shared" si="7"/>
        <v>4.8999999999999968</v>
      </c>
      <c r="AA52" s="46">
        <f t="shared" si="6"/>
        <v>9.7999999999999972</v>
      </c>
      <c r="AC52" s="44">
        <v>49</v>
      </c>
      <c r="AD52" s="46"/>
      <c r="AE52" s="46"/>
      <c r="AF52" s="46"/>
      <c r="AG52" s="46"/>
      <c r="AH52" s="46"/>
      <c r="AO52">
        <v>49</v>
      </c>
      <c r="AP52" s="1" t="s">
        <v>507</v>
      </c>
      <c r="AQ52" s="30">
        <v>25</v>
      </c>
    </row>
    <row r="53" spans="1:43" ht="15.95" customHeight="1" x14ac:dyDescent="0.25">
      <c r="A53" s="29" t="s">
        <v>90</v>
      </c>
      <c r="B53" s="31">
        <v>0.28333333333333333</v>
      </c>
      <c r="C53" s="31">
        <v>0.7284722222222223</v>
      </c>
      <c r="D53" s="31">
        <v>0.21666666666666667</v>
      </c>
      <c r="E53" s="31">
        <v>0.79513888888888884</v>
      </c>
      <c r="F53" s="31">
        <v>0.23958333333333334</v>
      </c>
      <c r="G53" s="31">
        <v>0.77222222222222225</v>
      </c>
      <c r="H53" s="31">
        <v>0.26250000000000001</v>
      </c>
      <c r="I53" s="31">
        <v>0.74861111111111101</v>
      </c>
      <c r="J53" s="31">
        <v>0.50555555555555554</v>
      </c>
      <c r="K53" s="30">
        <f>((K64-K35)/29)+K52</f>
        <v>42.965517241379288</v>
      </c>
      <c r="L53" s="30">
        <f>((L64-L35)/29)+L52</f>
        <v>34.965517241379288</v>
      </c>
      <c r="M53" s="90">
        <v>33.986206896551714</v>
      </c>
      <c r="N53" s="89">
        <f t="shared" si="11"/>
        <v>6.817241379310337</v>
      </c>
      <c r="O53" s="106">
        <f t="shared" si="12"/>
        <v>43.482758620689708</v>
      </c>
      <c r="P53" s="108">
        <v>20.951724137931031</v>
      </c>
      <c r="Q53" s="108">
        <v>11</v>
      </c>
      <c r="R53" s="107">
        <v>22.620689655172427</v>
      </c>
      <c r="S53" s="41" t="s">
        <v>433</v>
      </c>
      <c r="T53" s="41" t="s">
        <v>435</v>
      </c>
      <c r="U53" s="33"/>
      <c r="V53" s="44">
        <v>50</v>
      </c>
      <c r="W53" s="47">
        <v>2</v>
      </c>
      <c r="X53" s="46">
        <f t="shared" si="9"/>
        <v>3.125</v>
      </c>
      <c r="Y53" s="46">
        <f t="shared" si="8"/>
        <v>4.1666666666666661</v>
      </c>
      <c r="Z53" s="46">
        <v>5</v>
      </c>
      <c r="AA53" s="46">
        <v>10</v>
      </c>
      <c r="AC53" s="44">
        <v>50</v>
      </c>
      <c r="AD53" s="47"/>
      <c r="AE53" s="46"/>
      <c r="AF53" s="46"/>
      <c r="AG53" s="46"/>
      <c r="AH53" s="46"/>
      <c r="AO53">
        <v>50</v>
      </c>
      <c r="AP53" s="1" t="s">
        <v>507</v>
      </c>
      <c r="AQ53" s="30">
        <v>25</v>
      </c>
    </row>
    <row r="54" spans="1:43" ht="15.95" customHeight="1" x14ac:dyDescent="0.25">
      <c r="A54" s="29" t="s">
        <v>91</v>
      </c>
      <c r="B54" s="31">
        <v>0.28194444444444444</v>
      </c>
      <c r="C54" s="31">
        <v>0.72916666666666663</v>
      </c>
      <c r="D54" s="31">
        <v>0.21527777777777779</v>
      </c>
      <c r="E54" s="31">
        <v>0.79583333333333339</v>
      </c>
      <c r="F54" s="31">
        <v>0.2388888888888889</v>
      </c>
      <c r="G54" s="31">
        <v>0.7729166666666667</v>
      </c>
      <c r="H54" s="31">
        <v>0.26180555555555557</v>
      </c>
      <c r="I54" s="31">
        <v>0.75</v>
      </c>
      <c r="J54" s="31">
        <v>0.50555555555555554</v>
      </c>
      <c r="K54" s="30">
        <f>((K64-K35)/29)+K53</f>
        <v>43.241379310344804</v>
      </c>
      <c r="L54" s="30">
        <f>((L64-L35)/29)+L53</f>
        <v>35.241379310344804</v>
      </c>
      <c r="M54" s="90">
        <v>34.29655172413792</v>
      </c>
      <c r="N54" s="89">
        <f t="shared" si="11"/>
        <v>6.9793103448275779</v>
      </c>
      <c r="O54" s="106">
        <f t="shared" si="12"/>
        <v>43.62068965517247</v>
      </c>
      <c r="P54" s="108">
        <v>21.137931034482754</v>
      </c>
      <c r="Q54" s="108">
        <v>11</v>
      </c>
      <c r="R54" s="107">
        <v>22.655172413793117</v>
      </c>
      <c r="S54" s="41" t="s">
        <v>433</v>
      </c>
      <c r="T54" s="41" t="s">
        <v>435</v>
      </c>
      <c r="U54" s="33"/>
      <c r="V54" s="44">
        <v>51</v>
      </c>
      <c r="W54" s="46">
        <f t="shared" si="10"/>
        <v>2.04</v>
      </c>
      <c r="X54" s="46">
        <f t="shared" si="9"/>
        <v>3.1875</v>
      </c>
      <c r="Y54" s="46">
        <f t="shared" si="8"/>
        <v>4.2499999999999991</v>
      </c>
      <c r="Z54" s="46">
        <f t="shared" si="7"/>
        <v>5.0999999999999996</v>
      </c>
      <c r="AA54" s="46">
        <f t="shared" si="6"/>
        <v>10.199999999999999</v>
      </c>
      <c r="AC54" s="44">
        <v>51</v>
      </c>
      <c r="AD54" s="46"/>
      <c r="AE54" s="46"/>
      <c r="AF54" s="46"/>
      <c r="AG54" s="46"/>
      <c r="AH54" s="46"/>
      <c r="AO54">
        <v>51</v>
      </c>
      <c r="AP54" s="1" t="s">
        <v>507</v>
      </c>
      <c r="AQ54" s="30">
        <v>25</v>
      </c>
    </row>
    <row r="55" spans="1:43" ht="15.95" customHeight="1" x14ac:dyDescent="0.25">
      <c r="A55" s="29" t="s">
        <v>92</v>
      </c>
      <c r="B55" s="31">
        <v>0.28125</v>
      </c>
      <c r="C55" s="31">
        <v>0.73055555555555562</v>
      </c>
      <c r="D55" s="31">
        <v>0.21458333333333335</v>
      </c>
      <c r="E55" s="31">
        <v>0.79722222222222217</v>
      </c>
      <c r="F55" s="31">
        <v>0.23750000000000002</v>
      </c>
      <c r="G55" s="31">
        <v>0.77361111111111114</v>
      </c>
      <c r="H55" s="31">
        <v>0.26041666666666669</v>
      </c>
      <c r="I55" s="31">
        <v>0.75069444444444444</v>
      </c>
      <c r="J55" s="31">
        <v>0.50555555555555554</v>
      </c>
      <c r="K55" s="30">
        <f>((K64-K35)/29)+K54</f>
        <v>43.51724137931032</v>
      </c>
      <c r="L55" s="30">
        <f>((L64-L35)/29)+L54</f>
        <v>35.51724137931032</v>
      </c>
      <c r="M55" s="90">
        <v>34.606896551724127</v>
      </c>
      <c r="N55" s="89">
        <f t="shared" si="11"/>
        <v>7.1413793103448189</v>
      </c>
      <c r="O55" s="106">
        <f t="shared" si="12"/>
        <v>43.758620689655231</v>
      </c>
      <c r="P55" s="108">
        <v>21.324137931034478</v>
      </c>
      <c r="Q55" s="108">
        <v>11</v>
      </c>
      <c r="R55" s="107">
        <v>22.689655172413808</v>
      </c>
      <c r="S55" s="41" t="s">
        <v>433</v>
      </c>
      <c r="T55" s="41" t="s">
        <v>435</v>
      </c>
      <c r="U55" s="33"/>
      <c r="V55" s="44">
        <v>52</v>
      </c>
      <c r="W55" s="46">
        <f t="shared" si="10"/>
        <v>2.08</v>
      </c>
      <c r="X55" s="46">
        <f t="shared" si="9"/>
        <v>3.25</v>
      </c>
      <c r="Y55" s="46">
        <f t="shared" si="8"/>
        <v>4.3333333333333321</v>
      </c>
      <c r="Z55" s="46">
        <f t="shared" si="7"/>
        <v>5.1999999999999993</v>
      </c>
      <c r="AA55" s="46">
        <f t="shared" si="6"/>
        <v>10.399999999999999</v>
      </c>
      <c r="AC55" s="44">
        <v>52</v>
      </c>
      <c r="AD55" s="46"/>
      <c r="AE55" s="46"/>
      <c r="AF55" s="46"/>
      <c r="AG55" s="46"/>
      <c r="AH55" s="46"/>
      <c r="AO55">
        <v>52</v>
      </c>
      <c r="AP55" s="1" t="s">
        <v>507</v>
      </c>
      <c r="AQ55" s="30">
        <v>25</v>
      </c>
    </row>
    <row r="56" spans="1:43" ht="15.95" customHeight="1" x14ac:dyDescent="0.25">
      <c r="A56" s="29" t="s">
        <v>93</v>
      </c>
      <c r="B56" s="31">
        <v>0.27986111111111112</v>
      </c>
      <c r="C56" s="31">
        <v>0.73125000000000007</v>
      </c>
      <c r="D56" s="31">
        <v>0.21319444444444444</v>
      </c>
      <c r="E56" s="31">
        <v>0.79791666666666661</v>
      </c>
      <c r="F56" s="31">
        <v>0.23680555555555557</v>
      </c>
      <c r="G56" s="31">
        <v>0.77500000000000002</v>
      </c>
      <c r="H56" s="31">
        <v>0.25972222222222224</v>
      </c>
      <c r="I56" s="31">
        <v>0.75138888888888899</v>
      </c>
      <c r="J56" s="31">
        <v>0.50555555555555554</v>
      </c>
      <c r="K56" s="30">
        <f>((K64-K35)/29)+K55</f>
        <v>43.793103448275836</v>
      </c>
      <c r="L56" s="30">
        <f>((L64-L35)/29)+L55</f>
        <v>35.793103448275836</v>
      </c>
      <c r="M56" s="90">
        <v>34.917241379310333</v>
      </c>
      <c r="N56" s="89">
        <f t="shared" si="11"/>
        <v>7.3034482758620598</v>
      </c>
      <c r="O56" s="106">
        <f t="shared" si="12"/>
        <v>43.896551724137993</v>
      </c>
      <c r="P56" s="108">
        <v>21.510344827586202</v>
      </c>
      <c r="Q56" s="108">
        <v>11</v>
      </c>
      <c r="R56" s="107">
        <v>22.724137931034498</v>
      </c>
      <c r="S56" s="41" t="s">
        <v>433</v>
      </c>
      <c r="T56" s="41" t="s">
        <v>435</v>
      </c>
      <c r="U56" s="33"/>
      <c r="V56" s="44">
        <v>53</v>
      </c>
      <c r="W56" s="46">
        <f t="shared" si="10"/>
        <v>2.12</v>
      </c>
      <c r="X56" s="46">
        <f t="shared" si="9"/>
        <v>3.3125</v>
      </c>
      <c r="Y56" s="46">
        <f t="shared" si="8"/>
        <v>4.4166666666666652</v>
      </c>
      <c r="Z56" s="46">
        <f t="shared" si="7"/>
        <v>5.2999999999999989</v>
      </c>
      <c r="AA56" s="46">
        <f t="shared" si="6"/>
        <v>10.599999999999998</v>
      </c>
      <c r="AC56" s="44">
        <v>53</v>
      </c>
      <c r="AD56" s="46"/>
      <c r="AE56" s="46"/>
      <c r="AF56" s="46"/>
      <c r="AG56" s="46"/>
      <c r="AH56" s="46"/>
      <c r="AO56">
        <v>53</v>
      </c>
      <c r="AP56" s="1" t="s">
        <v>507</v>
      </c>
      <c r="AQ56" s="30">
        <v>25</v>
      </c>
    </row>
    <row r="57" spans="1:43" ht="15.95" customHeight="1" x14ac:dyDescent="0.25">
      <c r="A57" s="29" t="s">
        <v>94</v>
      </c>
      <c r="B57" s="31">
        <v>0.27847222222222223</v>
      </c>
      <c r="C57" s="31">
        <v>0.7319444444444444</v>
      </c>
      <c r="D57" s="31">
        <v>0.21249999999999999</v>
      </c>
      <c r="E57" s="31">
        <v>0.79861111111111116</v>
      </c>
      <c r="F57" s="31">
        <v>0.23541666666666669</v>
      </c>
      <c r="G57" s="31">
        <v>0.77569444444444446</v>
      </c>
      <c r="H57" s="31">
        <v>0.25833333333333336</v>
      </c>
      <c r="I57" s="31">
        <v>0.75208333333333333</v>
      </c>
      <c r="J57" s="31">
        <v>0.50555555555555554</v>
      </c>
      <c r="K57" s="30">
        <f>((K64-K35)/29)+K56</f>
        <v>44.068965517241352</v>
      </c>
      <c r="L57" s="30">
        <f>((L64-L35)/29)+L56</f>
        <v>36.068965517241352</v>
      </c>
      <c r="M57" s="90">
        <v>35.22758620689654</v>
      </c>
      <c r="N57" s="89">
        <f t="shared" si="11"/>
        <v>7.4655172413793007</v>
      </c>
      <c r="O57" s="106">
        <f t="shared" si="12"/>
        <v>44.034482758620754</v>
      </c>
      <c r="P57" s="108">
        <v>21.696551724137926</v>
      </c>
      <c r="Q57" s="108">
        <v>11</v>
      </c>
      <c r="R57" s="107">
        <v>22.758620689655189</v>
      </c>
      <c r="S57" s="41" t="s">
        <v>433</v>
      </c>
      <c r="T57" s="41" t="s">
        <v>435</v>
      </c>
      <c r="U57" s="33"/>
      <c r="V57" s="44">
        <v>54</v>
      </c>
      <c r="W57" s="46">
        <f t="shared" si="10"/>
        <v>2.16</v>
      </c>
      <c r="X57" s="46">
        <f t="shared" si="9"/>
        <v>3.375</v>
      </c>
      <c r="Y57" s="46">
        <f t="shared" si="8"/>
        <v>4.4999999999999982</v>
      </c>
      <c r="Z57" s="46">
        <f t="shared" si="7"/>
        <v>5.3999999999999986</v>
      </c>
      <c r="AA57" s="46">
        <f t="shared" si="6"/>
        <v>10.799999999999997</v>
      </c>
      <c r="AC57" s="44">
        <v>54</v>
      </c>
      <c r="AD57" s="46"/>
      <c r="AE57" s="46"/>
      <c r="AF57" s="46"/>
      <c r="AG57" s="46"/>
      <c r="AH57" s="46"/>
      <c r="AO57">
        <v>54</v>
      </c>
      <c r="AP57" s="1" t="s">
        <v>507</v>
      </c>
      <c r="AQ57" s="30">
        <v>25</v>
      </c>
    </row>
    <row r="58" spans="1:43" ht="15.95" customHeight="1" x14ac:dyDescent="0.25">
      <c r="A58" s="29" t="s">
        <v>95</v>
      </c>
      <c r="B58" s="31">
        <v>0.27777777777777779</v>
      </c>
      <c r="C58" s="31">
        <v>0.73333333333333339</v>
      </c>
      <c r="D58" s="31">
        <v>0.21111111111111111</v>
      </c>
      <c r="E58" s="31">
        <v>0.7993055555555556</v>
      </c>
      <c r="F58" s="31">
        <v>0.23472222222222219</v>
      </c>
      <c r="G58" s="31">
        <v>0.77638888888888891</v>
      </c>
      <c r="H58" s="31">
        <v>0.25763888888888892</v>
      </c>
      <c r="I58" s="31">
        <v>0.75347222222222221</v>
      </c>
      <c r="J58" s="31">
        <v>0.50486111111111109</v>
      </c>
      <c r="K58" s="30">
        <f>((K64-K35)/29)+K57</f>
        <v>44.344827586206868</v>
      </c>
      <c r="L58" s="30">
        <f>((L64-L35)/29)+L57</f>
        <v>36.344827586206868</v>
      </c>
      <c r="M58" s="90">
        <v>35.537931034482746</v>
      </c>
      <c r="N58" s="89">
        <f t="shared" si="11"/>
        <v>7.6275862068965417</v>
      </c>
      <c r="O58" s="106">
        <f t="shared" si="12"/>
        <v>44.172413793103516</v>
      </c>
      <c r="P58" s="108">
        <v>21.88275862068965</v>
      </c>
      <c r="Q58" s="108">
        <v>11</v>
      </c>
      <c r="R58" s="107">
        <v>22.793103448275879</v>
      </c>
      <c r="S58" s="41" t="s">
        <v>433</v>
      </c>
      <c r="T58" s="41" t="s">
        <v>435</v>
      </c>
      <c r="U58" s="33"/>
      <c r="V58" s="44">
        <v>55</v>
      </c>
      <c r="W58" s="46">
        <f t="shared" si="10"/>
        <v>2.2000000000000002</v>
      </c>
      <c r="X58" s="46">
        <f t="shared" si="9"/>
        <v>3.4375</v>
      </c>
      <c r="Y58" s="46">
        <f t="shared" si="8"/>
        <v>4.5833333333333313</v>
      </c>
      <c r="Z58" s="46">
        <f t="shared" si="7"/>
        <v>5.4999999999999982</v>
      </c>
      <c r="AA58" s="46">
        <v>11</v>
      </c>
      <c r="AC58" s="44">
        <v>55</v>
      </c>
      <c r="AD58" s="46"/>
      <c r="AE58" s="46"/>
      <c r="AF58" s="46"/>
      <c r="AG58" s="46"/>
      <c r="AH58" s="46"/>
      <c r="AO58">
        <v>55</v>
      </c>
      <c r="AP58" s="1" t="s">
        <v>507</v>
      </c>
      <c r="AQ58" s="30">
        <v>25</v>
      </c>
    </row>
    <row r="59" spans="1:43" ht="15.95" customHeight="1" x14ac:dyDescent="0.25">
      <c r="A59" s="29" t="s">
        <v>96</v>
      </c>
      <c r="B59" s="31">
        <v>0.27638888888888885</v>
      </c>
      <c r="C59" s="31">
        <v>0.73402777777777783</v>
      </c>
      <c r="D59" s="31">
        <v>0.21041666666666667</v>
      </c>
      <c r="E59" s="31">
        <v>0.80069444444444438</v>
      </c>
      <c r="F59" s="31">
        <v>0.23333333333333331</v>
      </c>
      <c r="G59" s="31">
        <v>0.77708333333333324</v>
      </c>
      <c r="H59" s="31">
        <v>0.25625000000000003</v>
      </c>
      <c r="I59" s="31">
        <v>0.75416666666666676</v>
      </c>
      <c r="J59" s="31">
        <v>0.50486111111111109</v>
      </c>
      <c r="K59" s="30">
        <f>((K64-K35)/29)+K58</f>
        <v>44.620689655172384</v>
      </c>
      <c r="L59" s="30">
        <f>((L64-L35)/29)+L58</f>
        <v>36.620689655172384</v>
      </c>
      <c r="M59" s="90">
        <v>35.848275862068952</v>
      </c>
      <c r="N59" s="89">
        <f t="shared" si="11"/>
        <v>7.7896551724137826</v>
      </c>
      <c r="O59" s="106">
        <f t="shared" si="12"/>
        <v>44.310344827586277</v>
      </c>
      <c r="P59" s="108">
        <v>22.068965517241374</v>
      </c>
      <c r="Q59" s="108">
        <v>11</v>
      </c>
      <c r="R59" s="107">
        <v>22.827586206896569</v>
      </c>
      <c r="S59" s="41" t="s">
        <v>433</v>
      </c>
      <c r="T59" s="41" t="s">
        <v>435</v>
      </c>
      <c r="U59" s="33"/>
      <c r="V59" s="44">
        <v>56</v>
      </c>
      <c r="W59" s="46">
        <f t="shared" si="10"/>
        <v>2.2400000000000002</v>
      </c>
      <c r="X59" s="46">
        <f t="shared" si="9"/>
        <v>3.5</v>
      </c>
      <c r="Y59" s="46">
        <f t="shared" si="8"/>
        <v>4.6666666666666643</v>
      </c>
      <c r="Z59" s="46">
        <f t="shared" si="7"/>
        <v>5.5999999999999979</v>
      </c>
      <c r="AA59" s="46">
        <f t="shared" si="6"/>
        <v>11.2</v>
      </c>
      <c r="AC59" s="44">
        <v>56</v>
      </c>
      <c r="AD59" s="46"/>
      <c r="AE59" s="46"/>
      <c r="AF59" s="46"/>
      <c r="AG59" s="46"/>
      <c r="AH59" s="46"/>
      <c r="AO59">
        <v>56</v>
      </c>
      <c r="AP59" s="1" t="s">
        <v>507</v>
      </c>
      <c r="AQ59" s="30">
        <v>25</v>
      </c>
    </row>
    <row r="60" spans="1:43" ht="15.95" customHeight="1" x14ac:dyDescent="0.25">
      <c r="A60" s="29" t="s">
        <v>97</v>
      </c>
      <c r="B60" s="31">
        <v>0.27569444444444446</v>
      </c>
      <c r="C60" s="31">
        <v>0.73472222222222217</v>
      </c>
      <c r="D60" s="31">
        <v>0.20902777777777778</v>
      </c>
      <c r="E60" s="31">
        <v>0.80138888888888893</v>
      </c>
      <c r="F60" s="31">
        <v>0.23194444444444443</v>
      </c>
      <c r="G60" s="31">
        <v>0.77847222222222223</v>
      </c>
      <c r="H60" s="31">
        <v>0.25555555555555559</v>
      </c>
      <c r="I60" s="31">
        <v>0.75486111111111109</v>
      </c>
      <c r="J60" s="31">
        <v>0.50486111111111109</v>
      </c>
      <c r="K60" s="30">
        <f>((K64-K35)/29)+K59</f>
        <v>44.8965517241379</v>
      </c>
      <c r="L60" s="30">
        <f>((L64-L35)/29)+L59</f>
        <v>36.8965517241379</v>
      </c>
      <c r="M60" s="90">
        <v>36.158620689655159</v>
      </c>
      <c r="N60" s="89">
        <f t="shared" si="11"/>
        <v>7.9517241379310235</v>
      </c>
      <c r="O60" s="106">
        <f t="shared" si="12"/>
        <v>44.448275862069039</v>
      </c>
      <c r="P60" s="108">
        <v>22.255172413793098</v>
      </c>
      <c r="Q60" s="108">
        <v>11</v>
      </c>
      <c r="R60" s="107">
        <v>22.86206896551726</v>
      </c>
      <c r="S60" s="41" t="s">
        <v>433</v>
      </c>
      <c r="T60" s="41" t="s">
        <v>435</v>
      </c>
      <c r="U60" s="33"/>
      <c r="V60" s="44">
        <v>57</v>
      </c>
      <c r="W60" s="46">
        <f t="shared" si="10"/>
        <v>2.2800000000000002</v>
      </c>
      <c r="X60" s="46">
        <f t="shared" si="9"/>
        <v>3.5625</v>
      </c>
      <c r="Y60" s="46">
        <f t="shared" si="8"/>
        <v>4.7499999999999973</v>
      </c>
      <c r="Z60" s="46">
        <f t="shared" si="7"/>
        <v>5.6999999999999975</v>
      </c>
      <c r="AA60" s="46">
        <f t="shared" si="6"/>
        <v>11.399999999999999</v>
      </c>
      <c r="AC60" s="44">
        <v>57</v>
      </c>
      <c r="AD60" s="46"/>
      <c r="AE60" s="46"/>
      <c r="AF60" s="46"/>
      <c r="AG60" s="46"/>
      <c r="AH60" s="46"/>
      <c r="AO60">
        <v>57</v>
      </c>
      <c r="AP60" s="1" t="s">
        <v>507</v>
      </c>
      <c r="AQ60" s="30">
        <v>25</v>
      </c>
    </row>
    <row r="61" spans="1:43" ht="15.95" customHeight="1" x14ac:dyDescent="0.25">
      <c r="A61" s="29" t="s">
        <v>98</v>
      </c>
      <c r="B61" s="31">
        <v>0.27430555555555552</v>
      </c>
      <c r="C61" s="31">
        <v>0.73611111111111116</v>
      </c>
      <c r="D61" s="31">
        <v>0.20833333333333334</v>
      </c>
      <c r="E61" s="31">
        <v>0.80208333333333337</v>
      </c>
      <c r="F61" s="31">
        <v>0.23124999999999998</v>
      </c>
      <c r="G61" s="31">
        <v>0.77916666666666667</v>
      </c>
      <c r="H61" s="31">
        <v>0.25416666666666665</v>
      </c>
      <c r="I61" s="31">
        <v>0.75624999999999998</v>
      </c>
      <c r="J61" s="31">
        <v>0.50486111111111109</v>
      </c>
      <c r="K61" s="30">
        <f>((K64-K35)/29)+K60</f>
        <v>45.172413793103416</v>
      </c>
      <c r="L61" s="30">
        <f>((L64-L35)/29)+L60</f>
        <v>37.172413793103416</v>
      </c>
      <c r="M61" s="90">
        <v>36.468965517241365</v>
      </c>
      <c r="N61" s="89">
        <f t="shared" si="11"/>
        <v>8.1137931034482644</v>
      </c>
      <c r="O61" s="106">
        <f t="shared" si="12"/>
        <v>44.586206896551801</v>
      </c>
      <c r="P61" s="108">
        <v>22.441379310344821</v>
      </c>
      <c r="Q61" s="108">
        <v>11</v>
      </c>
      <c r="R61" s="107">
        <v>22.89655172413795</v>
      </c>
      <c r="S61" s="41" t="s">
        <v>433</v>
      </c>
      <c r="T61" s="41" t="s">
        <v>435</v>
      </c>
      <c r="U61" s="33"/>
      <c r="V61" s="44">
        <v>58</v>
      </c>
      <c r="W61" s="46">
        <f t="shared" si="10"/>
        <v>2.3200000000000003</v>
      </c>
      <c r="X61" s="46">
        <f t="shared" si="9"/>
        <v>3.625</v>
      </c>
      <c r="Y61" s="46">
        <f t="shared" si="8"/>
        <v>4.8333333333333304</v>
      </c>
      <c r="Z61" s="46">
        <f t="shared" si="7"/>
        <v>5.7999999999999972</v>
      </c>
      <c r="AA61" s="46">
        <f t="shared" si="6"/>
        <v>11.599999999999998</v>
      </c>
      <c r="AC61" s="44">
        <v>58</v>
      </c>
      <c r="AD61" s="46"/>
      <c r="AE61" s="46"/>
      <c r="AF61" s="46"/>
      <c r="AG61" s="46"/>
      <c r="AH61" s="46"/>
      <c r="AO61">
        <v>58</v>
      </c>
      <c r="AP61" s="1" t="s">
        <v>507</v>
      </c>
      <c r="AQ61" s="30">
        <v>25</v>
      </c>
    </row>
    <row r="62" spans="1:43" ht="15.95" customHeight="1" x14ac:dyDescent="0.25">
      <c r="A62" s="29" t="s">
        <v>99</v>
      </c>
      <c r="B62" s="31">
        <v>0.27291666666666664</v>
      </c>
      <c r="C62" s="31">
        <v>0.7368055555555556</v>
      </c>
      <c r="D62" s="31">
        <v>0.20694444444444446</v>
      </c>
      <c r="E62" s="31">
        <v>0.8027777777777777</v>
      </c>
      <c r="F62" s="31">
        <v>0.2298611111111111</v>
      </c>
      <c r="G62" s="31">
        <v>0.77986111111111101</v>
      </c>
      <c r="H62" s="31">
        <v>0.25277777777777777</v>
      </c>
      <c r="I62" s="31">
        <v>0.75694444444444453</v>
      </c>
      <c r="J62" s="31">
        <v>0.50486111111111109</v>
      </c>
      <c r="K62" s="30">
        <f>((K64-K35)/29)+K61</f>
        <v>45.448275862068932</v>
      </c>
      <c r="L62" s="30">
        <f>((L64-L35)/29)+L61</f>
        <v>37.448275862068932</v>
      </c>
      <c r="M62" s="90">
        <v>36.779310344827572</v>
      </c>
      <c r="N62" s="89">
        <f t="shared" si="11"/>
        <v>8.2758620689655054</v>
      </c>
      <c r="O62" s="106">
        <f t="shared" si="12"/>
        <v>44.724137931034562</v>
      </c>
      <c r="P62" s="108">
        <v>22.627586206896545</v>
      </c>
      <c r="Q62" s="108">
        <v>11</v>
      </c>
      <c r="R62" s="107">
        <v>22.931034482758641</v>
      </c>
      <c r="S62" s="41" t="s">
        <v>433</v>
      </c>
      <c r="T62" s="41" t="s">
        <v>435</v>
      </c>
      <c r="U62" s="33"/>
      <c r="V62" s="44">
        <v>59</v>
      </c>
      <c r="W62" s="46">
        <f t="shared" si="10"/>
        <v>2.3600000000000003</v>
      </c>
      <c r="X62" s="46">
        <f t="shared" si="9"/>
        <v>3.6875</v>
      </c>
      <c r="Y62" s="46">
        <f t="shared" si="8"/>
        <v>4.9166666666666634</v>
      </c>
      <c r="Z62" s="46">
        <f t="shared" si="7"/>
        <v>5.8999999999999968</v>
      </c>
      <c r="AA62" s="46">
        <f t="shared" si="6"/>
        <v>11.799999999999997</v>
      </c>
      <c r="AC62" s="44">
        <v>59</v>
      </c>
      <c r="AD62" s="46"/>
      <c r="AE62" s="46"/>
      <c r="AF62" s="46"/>
      <c r="AG62" s="46"/>
      <c r="AH62" s="46"/>
      <c r="AO62">
        <v>59</v>
      </c>
      <c r="AP62" s="1" t="s">
        <v>507</v>
      </c>
      <c r="AQ62" s="30">
        <v>25</v>
      </c>
    </row>
    <row r="63" spans="1:43" ht="15.95" customHeight="1" x14ac:dyDescent="0.25">
      <c r="A63" s="29" t="s">
        <v>100</v>
      </c>
      <c r="B63" s="31">
        <v>0.2722222222222222</v>
      </c>
      <c r="C63" s="31">
        <v>0.73749999999999993</v>
      </c>
      <c r="D63" s="31">
        <v>0.20555555555555557</v>
      </c>
      <c r="E63" s="31">
        <v>0.8041666666666667</v>
      </c>
      <c r="F63" s="31">
        <v>0.22916666666666666</v>
      </c>
      <c r="G63" s="31">
        <v>0.78055555555555556</v>
      </c>
      <c r="H63" s="31">
        <v>0.25208333333333333</v>
      </c>
      <c r="I63" s="31">
        <v>0.75763888888888886</v>
      </c>
      <c r="J63" s="31">
        <v>0.50486111111111109</v>
      </c>
      <c r="K63" s="30">
        <f>((K64-K35)/29)+K62</f>
        <v>45.724137931034448</v>
      </c>
      <c r="L63" s="30">
        <f>((L64-L35)/29)+L62</f>
        <v>37.724137931034448</v>
      </c>
      <c r="M63" s="90">
        <v>37.089655172413778</v>
      </c>
      <c r="N63" s="89">
        <f t="shared" si="11"/>
        <v>8.4379310344827463</v>
      </c>
      <c r="O63" s="106">
        <f t="shared" si="12"/>
        <v>44.862068965517324</v>
      </c>
      <c r="P63" s="108">
        <v>22.813793103448269</v>
      </c>
      <c r="Q63" s="108">
        <v>11</v>
      </c>
      <c r="R63" s="107">
        <v>22.965517241379331</v>
      </c>
      <c r="S63" s="41" t="s">
        <v>433</v>
      </c>
      <c r="T63" s="41" t="s">
        <v>435</v>
      </c>
      <c r="U63" s="33"/>
      <c r="V63" s="44">
        <v>60</v>
      </c>
      <c r="W63" s="46">
        <f t="shared" si="10"/>
        <v>2.4000000000000004</v>
      </c>
      <c r="X63" s="46">
        <f t="shared" si="9"/>
        <v>3.75</v>
      </c>
      <c r="Y63" s="46">
        <v>5</v>
      </c>
      <c r="Z63" s="39">
        <v>6</v>
      </c>
      <c r="AA63" s="46">
        <v>12</v>
      </c>
      <c r="AC63" s="44">
        <v>60</v>
      </c>
      <c r="AD63" s="46"/>
      <c r="AE63" s="46"/>
      <c r="AF63" s="46"/>
      <c r="AG63" s="39"/>
      <c r="AH63" s="46"/>
      <c r="AO63">
        <v>60</v>
      </c>
      <c r="AP63" s="1" t="s">
        <v>507</v>
      </c>
      <c r="AQ63" s="30">
        <v>25</v>
      </c>
    </row>
    <row r="64" spans="1:43" ht="15.95" customHeight="1" x14ac:dyDescent="0.25">
      <c r="A64" s="29" t="s">
        <v>101</v>
      </c>
      <c r="B64" s="31">
        <v>0.27083333333333331</v>
      </c>
      <c r="C64" s="31">
        <v>0.73819444444444438</v>
      </c>
      <c r="D64" s="31">
        <v>0.20486111111111113</v>
      </c>
      <c r="E64" s="31">
        <v>0.80486111111111114</v>
      </c>
      <c r="F64" s="31">
        <v>0.22777777777777777</v>
      </c>
      <c r="G64" s="31">
        <v>0.78194444444444444</v>
      </c>
      <c r="H64" s="31">
        <v>0.25069444444444444</v>
      </c>
      <c r="I64" s="31">
        <v>0.7583333333333333</v>
      </c>
      <c r="J64" s="31">
        <v>0.50416666666666665</v>
      </c>
      <c r="K64" s="30">
        <v>46</v>
      </c>
      <c r="L64" s="30">
        <v>38</v>
      </c>
      <c r="M64" s="90">
        <v>37.4</v>
      </c>
      <c r="N64" s="89">
        <v>8.6</v>
      </c>
      <c r="O64" s="106">
        <v>45</v>
      </c>
      <c r="P64" s="108">
        <v>23</v>
      </c>
      <c r="Q64" s="108">
        <v>11</v>
      </c>
      <c r="R64" s="107">
        <v>23</v>
      </c>
      <c r="S64" s="41" t="s">
        <v>431</v>
      </c>
      <c r="T64" s="41" t="s">
        <v>435</v>
      </c>
      <c r="U64" s="33"/>
      <c r="V64" s="44">
        <v>61</v>
      </c>
      <c r="W64" s="46">
        <f t="shared" si="10"/>
        <v>2.4400000000000004</v>
      </c>
      <c r="X64" s="46">
        <f t="shared" si="9"/>
        <v>3.8125</v>
      </c>
      <c r="Y64" s="46">
        <f t="shared" si="8"/>
        <v>5.083333333333333</v>
      </c>
      <c r="Z64" s="46">
        <f t="shared" si="7"/>
        <v>6.1</v>
      </c>
      <c r="AA64" s="46">
        <f t="shared" si="6"/>
        <v>12.2</v>
      </c>
      <c r="AC64" s="44">
        <v>61</v>
      </c>
      <c r="AD64" s="46"/>
      <c r="AE64" s="46"/>
      <c r="AF64" s="46"/>
      <c r="AG64" s="46"/>
      <c r="AH64" s="46"/>
      <c r="AO64">
        <v>61</v>
      </c>
      <c r="AP64" s="1" t="s">
        <v>513</v>
      </c>
      <c r="AQ64" s="30">
        <v>25</v>
      </c>
    </row>
    <row r="65" spans="1:43" ht="15.95" customHeight="1" x14ac:dyDescent="0.25">
      <c r="A65" s="29" t="s">
        <v>102</v>
      </c>
      <c r="B65" s="31">
        <v>0.26944444444444443</v>
      </c>
      <c r="C65" s="31">
        <v>0.73958333333333337</v>
      </c>
      <c r="D65" s="31">
        <v>0.20347222222222219</v>
      </c>
      <c r="E65" s="31">
        <v>0.80555555555555547</v>
      </c>
      <c r="F65" s="31">
        <v>0.22638888888888889</v>
      </c>
      <c r="G65" s="31">
        <v>0.78263888888888899</v>
      </c>
      <c r="H65" s="31">
        <v>0.25</v>
      </c>
      <c r="I65" s="31">
        <v>0.7597222222222223</v>
      </c>
      <c r="J65" s="31">
        <v>0.50416666666666665</v>
      </c>
      <c r="K65" s="30">
        <f>((K95-K64)/31)+K64</f>
        <v>46.387096774193552</v>
      </c>
      <c r="L65" s="30">
        <f>((L95-L64)/31)+L64</f>
        <v>38.322580645161288</v>
      </c>
      <c r="M65" s="90">
        <v>37.690322580645159</v>
      </c>
      <c r="N65" s="89">
        <f>((($N$95-$N$64)/31)+N64)</f>
        <v>9.1516129032258053</v>
      </c>
      <c r="O65" s="106">
        <f>(($O$95-$O$64)/31)+O64</f>
        <v>44.935483870967744</v>
      </c>
      <c r="P65" s="108">
        <v>23.232258064516127</v>
      </c>
      <c r="Q65" s="108">
        <v>11.03225806451613</v>
      </c>
      <c r="R65" s="107">
        <v>23.096774193548388</v>
      </c>
      <c r="S65" s="41" t="s">
        <v>431</v>
      </c>
      <c r="T65" s="41" t="s">
        <v>435</v>
      </c>
      <c r="U65" s="33"/>
      <c r="V65" s="44">
        <v>62</v>
      </c>
      <c r="W65" s="46">
        <f t="shared" si="10"/>
        <v>2.4800000000000004</v>
      </c>
      <c r="X65" s="46">
        <f t="shared" si="9"/>
        <v>3.875</v>
      </c>
      <c r="Y65" s="46">
        <f t="shared" si="8"/>
        <v>5.1666666666666661</v>
      </c>
      <c r="Z65" s="46">
        <f t="shared" si="7"/>
        <v>6.1999999999999993</v>
      </c>
      <c r="AA65" s="46">
        <f t="shared" si="6"/>
        <v>12.399999999999999</v>
      </c>
      <c r="AC65" s="44">
        <v>62</v>
      </c>
      <c r="AD65" s="46"/>
      <c r="AE65" s="46"/>
      <c r="AF65" s="46"/>
      <c r="AG65" s="46"/>
      <c r="AH65" s="46"/>
      <c r="AO65">
        <v>62</v>
      </c>
      <c r="AP65" s="1" t="s">
        <v>513</v>
      </c>
      <c r="AQ65" s="30">
        <v>25</v>
      </c>
    </row>
    <row r="66" spans="1:43" ht="15.95" customHeight="1" x14ac:dyDescent="0.25">
      <c r="A66" s="29" t="s">
        <v>103</v>
      </c>
      <c r="B66" s="31">
        <v>0.26874999999999999</v>
      </c>
      <c r="C66" s="31">
        <v>0.7402777777777777</v>
      </c>
      <c r="D66" s="31">
        <v>0.20208333333333331</v>
      </c>
      <c r="E66" s="31">
        <v>0.80694444444444446</v>
      </c>
      <c r="F66" s="31">
        <v>0.22569444444444445</v>
      </c>
      <c r="G66" s="31">
        <v>0.78333333333333333</v>
      </c>
      <c r="H66" s="31">
        <v>0.24861111111111112</v>
      </c>
      <c r="I66" s="31">
        <v>0.76041666666666663</v>
      </c>
      <c r="J66" s="31">
        <v>0.50416666666666665</v>
      </c>
      <c r="K66" s="30">
        <f>((K95-K64)/31)+K65</f>
        <v>46.774193548387103</v>
      </c>
      <c r="L66" s="30">
        <f>((L95-L64)/31)+L65</f>
        <v>38.645161290322577</v>
      </c>
      <c r="M66" s="90">
        <v>37.980645161290319</v>
      </c>
      <c r="N66" s="89">
        <f t="shared" ref="N66:N94" si="13">((($N$95-$N$64)/31)+N65)</f>
        <v>9.703225806451611</v>
      </c>
      <c r="O66" s="106">
        <f t="shared" ref="O66:O94" si="14">(($O$95-$O$64)/31)+O65</f>
        <v>44.870967741935488</v>
      </c>
      <c r="P66" s="108">
        <v>23.464516129032255</v>
      </c>
      <c r="Q66" s="108">
        <v>11.06451612903226</v>
      </c>
      <c r="R66" s="107">
        <v>23.193548387096776</v>
      </c>
      <c r="S66" s="41" t="s">
        <v>431</v>
      </c>
      <c r="T66" s="41" t="s">
        <v>435</v>
      </c>
      <c r="U66" s="33"/>
      <c r="V66" s="44">
        <v>63</v>
      </c>
      <c r="W66" s="46">
        <f t="shared" si="10"/>
        <v>2.5200000000000005</v>
      </c>
      <c r="X66" s="46">
        <f t="shared" si="9"/>
        <v>3.9375</v>
      </c>
      <c r="Y66" s="46">
        <f t="shared" si="8"/>
        <v>5.2499999999999991</v>
      </c>
      <c r="Z66" s="46">
        <f t="shared" si="7"/>
        <v>6.2999999999999989</v>
      </c>
      <c r="AA66" s="46">
        <f t="shared" si="6"/>
        <v>12.599999999999998</v>
      </c>
      <c r="AC66" s="44">
        <v>63</v>
      </c>
      <c r="AD66" s="46"/>
      <c r="AE66" s="46"/>
      <c r="AF66" s="46"/>
      <c r="AG66" s="46"/>
      <c r="AH66" s="46"/>
      <c r="AO66">
        <v>63</v>
      </c>
      <c r="AP66" s="1" t="s">
        <v>513</v>
      </c>
      <c r="AQ66" s="30">
        <v>25</v>
      </c>
    </row>
    <row r="67" spans="1:43" ht="15.95" customHeight="1" x14ac:dyDescent="0.25">
      <c r="A67" s="29" t="s">
        <v>104</v>
      </c>
      <c r="B67" s="31">
        <v>0.2673611111111111</v>
      </c>
      <c r="C67" s="31">
        <v>0.74097222222222225</v>
      </c>
      <c r="D67" s="31">
        <v>0.20138888888888887</v>
      </c>
      <c r="E67" s="31">
        <v>0.80763888888888891</v>
      </c>
      <c r="F67" s="31">
        <v>0.22430555555555556</v>
      </c>
      <c r="G67" s="31">
        <v>0.78402777777777777</v>
      </c>
      <c r="H67" s="31">
        <v>0.24722222222222223</v>
      </c>
      <c r="I67" s="31">
        <v>0.76111111111111107</v>
      </c>
      <c r="J67" s="31">
        <v>0.50416666666666665</v>
      </c>
      <c r="K67" s="30">
        <f>((K95-K64)/31)+K66</f>
        <v>47.161290322580655</v>
      </c>
      <c r="L67" s="30">
        <f>((L95-L64)/31)+L66</f>
        <v>38.967741935483865</v>
      </c>
      <c r="M67" s="90">
        <v>38.270967741935479</v>
      </c>
      <c r="N67" s="89">
        <f t="shared" si="13"/>
        <v>10.254838709677417</v>
      </c>
      <c r="O67" s="106">
        <f t="shared" si="14"/>
        <v>44.806451612903231</v>
      </c>
      <c r="P67" s="108">
        <v>23.696774193548382</v>
      </c>
      <c r="Q67" s="108">
        <v>11.09677419354839</v>
      </c>
      <c r="R67" s="107">
        <v>23.290322580645164</v>
      </c>
      <c r="S67" s="41" t="s">
        <v>431</v>
      </c>
      <c r="T67" s="41" t="s">
        <v>435</v>
      </c>
      <c r="U67" s="33"/>
      <c r="V67" s="44">
        <v>64</v>
      </c>
      <c r="W67" s="46">
        <f t="shared" si="10"/>
        <v>2.5600000000000005</v>
      </c>
      <c r="X67" s="47">
        <v>4</v>
      </c>
      <c r="Y67" s="46">
        <f t="shared" si="8"/>
        <v>5.3333333333333321</v>
      </c>
      <c r="Z67" s="46">
        <f t="shared" si="7"/>
        <v>6.3999999999999986</v>
      </c>
      <c r="AA67" s="46">
        <f t="shared" si="6"/>
        <v>12.799999999999997</v>
      </c>
      <c r="AC67" s="44">
        <v>64</v>
      </c>
      <c r="AD67" s="46"/>
      <c r="AE67" s="47"/>
      <c r="AF67" s="46"/>
      <c r="AG67" s="46"/>
      <c r="AH67" s="46"/>
      <c r="AO67">
        <v>64</v>
      </c>
      <c r="AP67" s="1" t="s">
        <v>513</v>
      </c>
      <c r="AQ67" s="30">
        <v>25</v>
      </c>
    </row>
    <row r="68" spans="1:43" ht="15.95" customHeight="1" x14ac:dyDescent="0.25">
      <c r="A68" s="29" t="s">
        <v>105</v>
      </c>
      <c r="B68" s="31">
        <v>0.26597222222222222</v>
      </c>
      <c r="C68" s="31">
        <v>0.74236111111111114</v>
      </c>
      <c r="D68" s="31">
        <v>0.19999999999999998</v>
      </c>
      <c r="E68" s="31">
        <v>0.80833333333333324</v>
      </c>
      <c r="F68" s="31">
        <v>0.22291666666666665</v>
      </c>
      <c r="G68" s="31">
        <v>0.78541666666666676</v>
      </c>
      <c r="H68" s="31">
        <v>0.24583333333333335</v>
      </c>
      <c r="I68" s="31">
        <v>0.76180555555555562</v>
      </c>
      <c r="J68" s="31">
        <v>0.50347222222222221</v>
      </c>
      <c r="K68" s="30">
        <f>((K95-K64)/31)+K67</f>
        <v>47.548387096774206</v>
      </c>
      <c r="L68" s="30">
        <f>((L95-L64)/31)+L67</f>
        <v>39.290322580645153</v>
      </c>
      <c r="M68" s="90">
        <v>38.561290322580639</v>
      </c>
      <c r="N68" s="89">
        <f t="shared" si="13"/>
        <v>10.806451612903222</v>
      </c>
      <c r="O68" s="106">
        <f t="shared" si="14"/>
        <v>44.741935483870975</v>
      </c>
      <c r="P68" s="108">
        <v>23.92903225806451</v>
      </c>
      <c r="Q68" s="108">
        <v>11.12903225806452</v>
      </c>
      <c r="R68" s="107">
        <v>23.387096774193552</v>
      </c>
      <c r="S68" s="41" t="s">
        <v>431</v>
      </c>
      <c r="T68" s="41" t="s">
        <v>435</v>
      </c>
      <c r="U68" s="33"/>
      <c r="V68" s="44">
        <v>65</v>
      </c>
      <c r="W68" s="46">
        <f t="shared" si="10"/>
        <v>2.6000000000000005</v>
      </c>
      <c r="X68" s="46">
        <f t="shared" si="9"/>
        <v>4.0625</v>
      </c>
      <c r="Y68" s="46">
        <f t="shared" si="8"/>
        <v>5.4166666666666652</v>
      </c>
      <c r="Z68" s="46">
        <f t="shared" si="7"/>
        <v>6.4999999999999982</v>
      </c>
      <c r="AA68" s="46">
        <v>13</v>
      </c>
      <c r="AC68" s="44">
        <v>65</v>
      </c>
      <c r="AD68" s="46"/>
      <c r="AE68" s="46"/>
      <c r="AF68" s="46"/>
      <c r="AG68" s="46"/>
      <c r="AH68" s="46"/>
      <c r="AO68">
        <v>65</v>
      </c>
      <c r="AP68" s="1" t="s">
        <v>513</v>
      </c>
      <c r="AQ68" s="30">
        <v>25</v>
      </c>
    </row>
    <row r="69" spans="1:43" ht="15.95" customHeight="1" x14ac:dyDescent="0.25">
      <c r="A69" s="29" t="s">
        <v>106</v>
      </c>
      <c r="B69" s="31">
        <v>0.26458333333333334</v>
      </c>
      <c r="C69" s="31">
        <v>0.74305555555555547</v>
      </c>
      <c r="D69" s="31">
        <v>0.1986111111111111</v>
      </c>
      <c r="E69" s="31">
        <v>0.80902777777777779</v>
      </c>
      <c r="F69" s="31">
        <v>0.22222222222222221</v>
      </c>
      <c r="G69" s="31">
        <v>0.78611111111111109</v>
      </c>
      <c r="H69" s="31">
        <v>0.24513888888888888</v>
      </c>
      <c r="I69" s="31">
        <v>0.7631944444444444</v>
      </c>
      <c r="J69" s="31">
        <v>0.50347222222222221</v>
      </c>
      <c r="K69" s="30">
        <f>((K95-K64)/31)+K68</f>
        <v>47.935483870967758</v>
      </c>
      <c r="L69" s="30">
        <f>((L95-L64)/31)+L68</f>
        <v>39.612903225806441</v>
      </c>
      <c r="M69" s="90">
        <v>38.851612903225799</v>
      </c>
      <c r="N69" s="89">
        <f t="shared" si="13"/>
        <v>11.358064516129028</v>
      </c>
      <c r="O69" s="106">
        <f t="shared" si="14"/>
        <v>44.677419354838719</v>
      </c>
      <c r="P69" s="108">
        <v>24.161290322580637</v>
      </c>
      <c r="Q69" s="108">
        <v>11.161290322580649</v>
      </c>
      <c r="R69" s="107">
        <v>23.483870967741939</v>
      </c>
      <c r="S69" s="41" t="s">
        <v>431</v>
      </c>
      <c r="T69" s="41" t="s">
        <v>435</v>
      </c>
      <c r="U69" s="33"/>
      <c r="V69" s="44">
        <v>66</v>
      </c>
      <c r="W69" s="46">
        <f t="shared" si="10"/>
        <v>2.6400000000000006</v>
      </c>
      <c r="X69" s="46">
        <f t="shared" si="9"/>
        <v>4.125</v>
      </c>
      <c r="Y69" s="46">
        <f t="shared" si="8"/>
        <v>5.4999999999999982</v>
      </c>
      <c r="Z69" s="46">
        <f t="shared" si="7"/>
        <v>6.5999999999999979</v>
      </c>
      <c r="AA69" s="46">
        <f t="shared" si="6"/>
        <v>13.2</v>
      </c>
      <c r="AC69" s="44">
        <v>66</v>
      </c>
      <c r="AD69" s="46"/>
      <c r="AE69" s="46"/>
      <c r="AF69" s="46"/>
      <c r="AG69" s="46"/>
      <c r="AH69" s="46"/>
      <c r="AO69">
        <v>66</v>
      </c>
      <c r="AP69" s="1" t="s">
        <v>513</v>
      </c>
      <c r="AQ69" s="30">
        <v>25</v>
      </c>
    </row>
    <row r="70" spans="1:43" ht="15.95" customHeight="1" x14ac:dyDescent="0.25">
      <c r="A70" s="29" t="s">
        <v>107</v>
      </c>
      <c r="B70" s="31">
        <v>0.2638888888888889</v>
      </c>
      <c r="C70" s="31">
        <v>0.74375000000000002</v>
      </c>
      <c r="D70" s="31">
        <v>0.19722222222222222</v>
      </c>
      <c r="E70" s="31">
        <v>0.81041666666666667</v>
      </c>
      <c r="F70" s="31">
        <v>0.22083333333333333</v>
      </c>
      <c r="G70" s="31">
        <v>0.78680555555555554</v>
      </c>
      <c r="H70" s="31">
        <v>0.24374999999999999</v>
      </c>
      <c r="I70" s="31">
        <v>0.76388888888888884</v>
      </c>
      <c r="J70" s="31">
        <v>0.50347222222222221</v>
      </c>
      <c r="K70" s="30">
        <f>((K95-K64)/31)+K69</f>
        <v>48.32258064516131</v>
      </c>
      <c r="L70" s="30">
        <f>((L95-L64)/31)+L69</f>
        <v>39.93548387096773</v>
      </c>
      <c r="M70" s="90">
        <v>39.141935483870959</v>
      </c>
      <c r="N70" s="89">
        <f t="shared" si="13"/>
        <v>11.909677419354834</v>
      </c>
      <c r="O70" s="106">
        <f t="shared" si="14"/>
        <v>44.612903225806463</v>
      </c>
      <c r="P70" s="108">
        <v>24.393548387096764</v>
      </c>
      <c r="Q70" s="108">
        <v>11.193548387096779</v>
      </c>
      <c r="R70" s="107">
        <v>23.580645161290327</v>
      </c>
      <c r="S70" s="41" t="s">
        <v>431</v>
      </c>
      <c r="T70" s="41" t="s">
        <v>435</v>
      </c>
      <c r="U70" s="33"/>
      <c r="V70" s="44">
        <v>67</v>
      </c>
      <c r="W70" s="46">
        <f t="shared" si="10"/>
        <v>2.6800000000000006</v>
      </c>
      <c r="X70" s="46">
        <f t="shared" si="9"/>
        <v>4.1875</v>
      </c>
      <c r="Y70" s="46">
        <f t="shared" si="8"/>
        <v>5.5833333333333313</v>
      </c>
      <c r="Z70" s="46">
        <f t="shared" si="7"/>
        <v>6.6999999999999975</v>
      </c>
      <c r="AA70" s="46">
        <f t="shared" si="6"/>
        <v>13.399999999999999</v>
      </c>
      <c r="AC70" s="44">
        <v>67</v>
      </c>
      <c r="AD70" s="46"/>
      <c r="AE70" s="46"/>
      <c r="AF70" s="46"/>
      <c r="AG70" s="46"/>
      <c r="AH70" s="46"/>
      <c r="AO70">
        <v>67</v>
      </c>
      <c r="AP70" s="1" t="s">
        <v>513</v>
      </c>
      <c r="AQ70" s="30">
        <v>25</v>
      </c>
    </row>
    <row r="71" spans="1:43" ht="15.95" customHeight="1" x14ac:dyDescent="0.25">
      <c r="A71" s="29" t="s">
        <v>108</v>
      </c>
      <c r="B71" s="31">
        <v>0.26250000000000001</v>
      </c>
      <c r="C71" s="31">
        <v>0.74444444444444446</v>
      </c>
      <c r="D71" s="31">
        <v>0.19583333333333333</v>
      </c>
      <c r="E71" s="31">
        <v>0.81111111111111101</v>
      </c>
      <c r="F71" s="31">
        <v>0.21944444444444444</v>
      </c>
      <c r="G71" s="31">
        <v>0.78749999999999998</v>
      </c>
      <c r="H71" s="31">
        <v>0.24236111111111111</v>
      </c>
      <c r="I71" s="31">
        <v>0.76458333333333339</v>
      </c>
      <c r="J71" s="31">
        <v>0.50347222222222221</v>
      </c>
      <c r="K71" s="30">
        <f>((K95-K64)/31)+K70</f>
        <v>48.709677419354861</v>
      </c>
      <c r="L71" s="30">
        <f>((L95-L64)/31)+L70</f>
        <v>40.258064516129018</v>
      </c>
      <c r="M71" s="90">
        <v>39.43225806451612</v>
      </c>
      <c r="N71" s="89">
        <f t="shared" si="13"/>
        <v>12.46129032258064</v>
      </c>
      <c r="O71" s="106">
        <f t="shared" si="14"/>
        <v>44.548387096774206</v>
      </c>
      <c r="P71" s="108">
        <v>24.625806451612892</v>
      </c>
      <c r="Q71" s="108">
        <v>11.225806451612909</v>
      </c>
      <c r="R71" s="107">
        <v>23.677419354838715</v>
      </c>
      <c r="S71" s="41" t="s">
        <v>431</v>
      </c>
      <c r="T71" s="41" t="s">
        <v>435</v>
      </c>
      <c r="U71" s="33"/>
      <c r="V71" s="44">
        <v>68</v>
      </c>
      <c r="W71" s="46">
        <f t="shared" si="10"/>
        <v>2.7200000000000006</v>
      </c>
      <c r="X71" s="46">
        <f t="shared" si="9"/>
        <v>4.25</v>
      </c>
      <c r="Y71" s="46">
        <f t="shared" si="8"/>
        <v>5.6666666666666643</v>
      </c>
      <c r="Z71" s="46">
        <f t="shared" si="7"/>
        <v>6.7999999999999972</v>
      </c>
      <c r="AA71" s="46">
        <f t="shared" si="6"/>
        <v>13.599999999999998</v>
      </c>
      <c r="AC71" s="44">
        <v>68</v>
      </c>
      <c r="AD71" s="46"/>
      <c r="AE71" s="46"/>
      <c r="AF71" s="46"/>
      <c r="AG71" s="46"/>
      <c r="AH71" s="46"/>
      <c r="AO71">
        <v>68</v>
      </c>
      <c r="AP71" s="1" t="s">
        <v>513</v>
      </c>
      <c r="AQ71" s="30">
        <v>25</v>
      </c>
    </row>
    <row r="72" spans="1:43" ht="15.95" customHeight="1" x14ac:dyDescent="0.25">
      <c r="A72" s="29" t="s">
        <v>109</v>
      </c>
      <c r="B72" s="31">
        <v>0.26111111111111113</v>
      </c>
      <c r="C72" s="31">
        <v>0.74583333333333324</v>
      </c>
      <c r="D72" s="31">
        <v>0.19513888888888889</v>
      </c>
      <c r="E72" s="31">
        <v>0.81180555555555556</v>
      </c>
      <c r="F72" s="31">
        <v>0.21805555555555556</v>
      </c>
      <c r="G72" s="31">
        <v>0.78888888888888886</v>
      </c>
      <c r="H72" s="31">
        <v>0.24166666666666667</v>
      </c>
      <c r="I72" s="31">
        <v>0.76527777777777783</v>
      </c>
      <c r="J72" s="31">
        <v>0.50277777777777777</v>
      </c>
      <c r="K72" s="30">
        <f>((K95-K64)/31)+K71</f>
        <v>49.096774193548413</v>
      </c>
      <c r="L72" s="30">
        <f>((L95-L64)/31)+L71</f>
        <v>40.580645161290306</v>
      </c>
      <c r="M72" s="90">
        <v>39.72258064516128</v>
      </c>
      <c r="N72" s="89">
        <f t="shared" si="13"/>
        <v>13.012903225806445</v>
      </c>
      <c r="O72" s="106">
        <f t="shared" si="14"/>
        <v>44.48387096774195</v>
      </c>
      <c r="P72" s="108">
        <v>24.858064516129019</v>
      </c>
      <c r="Q72" s="108">
        <v>11.258064516129039</v>
      </c>
      <c r="R72" s="107">
        <v>23.774193548387103</v>
      </c>
      <c r="S72" s="41" t="s">
        <v>431</v>
      </c>
      <c r="T72" s="41" t="s">
        <v>435</v>
      </c>
      <c r="U72" s="33"/>
      <c r="V72" s="44">
        <v>69</v>
      </c>
      <c r="W72" s="46">
        <f t="shared" si="10"/>
        <v>2.7600000000000007</v>
      </c>
      <c r="X72" s="46">
        <f t="shared" si="9"/>
        <v>4.3125</v>
      </c>
      <c r="Y72" s="46">
        <f t="shared" si="8"/>
        <v>5.7499999999999973</v>
      </c>
      <c r="Z72" s="46">
        <f t="shared" si="7"/>
        <v>6.8999999999999968</v>
      </c>
      <c r="AA72" s="46">
        <f t="shared" si="6"/>
        <v>13.799999999999997</v>
      </c>
      <c r="AC72" s="44">
        <v>69</v>
      </c>
      <c r="AD72" s="46"/>
      <c r="AE72" s="46"/>
      <c r="AF72" s="46"/>
      <c r="AG72" s="46"/>
      <c r="AH72" s="46"/>
      <c r="AO72">
        <v>69</v>
      </c>
      <c r="AP72" s="1" t="s">
        <v>513</v>
      </c>
      <c r="AQ72" s="30">
        <v>25</v>
      </c>
    </row>
    <row r="73" spans="1:43" ht="15.95" customHeight="1" x14ac:dyDescent="0.25">
      <c r="A73" s="29" t="s">
        <v>110</v>
      </c>
      <c r="B73" s="31">
        <v>0.25972222222222224</v>
      </c>
      <c r="C73" s="31">
        <v>0.74652777777777779</v>
      </c>
      <c r="D73" s="31">
        <v>0.19375000000000001</v>
      </c>
      <c r="E73" s="31">
        <v>0.81319444444444444</v>
      </c>
      <c r="F73" s="31">
        <v>0.21666666666666667</v>
      </c>
      <c r="G73" s="31">
        <v>0.7895833333333333</v>
      </c>
      <c r="H73" s="31">
        <v>0.24027777777777778</v>
      </c>
      <c r="I73" s="31">
        <v>0.76597222222222217</v>
      </c>
      <c r="J73" s="31">
        <v>0.50277777777777777</v>
      </c>
      <c r="K73" s="30">
        <f>((K95-K64)/31)+K72</f>
        <v>49.483870967741964</v>
      </c>
      <c r="L73" s="30">
        <f>((L95-L64)/31)+L72</f>
        <v>40.903225806451594</v>
      </c>
      <c r="M73" s="90">
        <v>40.01290322580644</v>
      </c>
      <c r="N73" s="89">
        <f t="shared" si="13"/>
        <v>13.564516129032251</v>
      </c>
      <c r="O73" s="106">
        <f t="shared" si="14"/>
        <v>44.419354838709694</v>
      </c>
      <c r="P73" s="108">
        <v>25.090322580645147</v>
      </c>
      <c r="Q73" s="108">
        <v>11.290322580645169</v>
      </c>
      <c r="R73" s="107">
        <v>23.870967741935491</v>
      </c>
      <c r="S73" s="41" t="s">
        <v>431</v>
      </c>
      <c r="T73" s="41" t="s">
        <v>435</v>
      </c>
      <c r="U73" s="33"/>
      <c r="V73" s="44">
        <v>70</v>
      </c>
      <c r="W73" s="46">
        <f t="shared" si="10"/>
        <v>2.8000000000000007</v>
      </c>
      <c r="X73" s="46">
        <f t="shared" si="9"/>
        <v>4.375</v>
      </c>
      <c r="Y73" s="46">
        <f t="shared" si="8"/>
        <v>5.8333333333333304</v>
      </c>
      <c r="Z73" s="46">
        <f t="shared" si="7"/>
        <v>6.9999999999999964</v>
      </c>
      <c r="AA73" s="46">
        <f t="shared" si="6"/>
        <v>13.999999999999996</v>
      </c>
      <c r="AC73" s="44">
        <v>70</v>
      </c>
      <c r="AD73" s="46"/>
      <c r="AE73" s="46"/>
      <c r="AF73" s="46"/>
      <c r="AG73" s="46"/>
      <c r="AH73" s="46"/>
      <c r="AO73">
        <v>70</v>
      </c>
      <c r="AP73" s="1" t="s">
        <v>513</v>
      </c>
      <c r="AQ73" s="30">
        <v>25</v>
      </c>
    </row>
    <row r="74" spans="1:43" ht="15.95" customHeight="1" x14ac:dyDescent="0.25">
      <c r="A74" s="29" t="s">
        <v>111</v>
      </c>
      <c r="B74" s="31">
        <v>0.2590277777777778</v>
      </c>
      <c r="C74" s="31">
        <v>0.74722222222222223</v>
      </c>
      <c r="D74" s="31">
        <v>0.19236111111111112</v>
      </c>
      <c r="E74" s="31">
        <v>0.81388888888888899</v>
      </c>
      <c r="F74" s="31">
        <v>0.21597222222222223</v>
      </c>
      <c r="G74" s="31">
        <v>0.79027777777777775</v>
      </c>
      <c r="H74" s="31">
        <v>0.2388888888888889</v>
      </c>
      <c r="I74" s="31">
        <v>0.76736111111111116</v>
      </c>
      <c r="J74" s="31">
        <v>0.50277777777777777</v>
      </c>
      <c r="K74" s="30">
        <f>((K95-K64)/31)+K73</f>
        <v>49.870967741935516</v>
      </c>
      <c r="L74" s="30">
        <f>((L95-L64)/31)+L73</f>
        <v>41.225806451612883</v>
      </c>
      <c r="M74" s="90">
        <v>40.3032258064516</v>
      </c>
      <c r="N74" s="89">
        <f t="shared" si="13"/>
        <v>14.116129032258057</v>
      </c>
      <c r="O74" s="106">
        <f t="shared" si="14"/>
        <v>44.354838709677438</v>
      </c>
      <c r="P74" s="108">
        <v>25.322580645161274</v>
      </c>
      <c r="Q74" s="108">
        <v>11.322580645161299</v>
      </c>
      <c r="R74" s="107">
        <v>23.967741935483879</v>
      </c>
      <c r="S74" s="41" t="s">
        <v>431</v>
      </c>
      <c r="T74" s="41" t="s">
        <v>435</v>
      </c>
      <c r="U74" s="33"/>
      <c r="V74" s="44">
        <v>71</v>
      </c>
      <c r="W74" s="46">
        <f t="shared" si="10"/>
        <v>2.8400000000000007</v>
      </c>
      <c r="X74" s="46">
        <f t="shared" si="9"/>
        <v>4.4375</v>
      </c>
      <c r="Y74" s="46">
        <f t="shared" si="8"/>
        <v>5.9166666666666634</v>
      </c>
      <c r="Z74" s="46">
        <f t="shared" si="7"/>
        <v>7.0999999999999961</v>
      </c>
      <c r="AA74" s="46">
        <f t="shared" si="6"/>
        <v>14.199999999999996</v>
      </c>
      <c r="AC74" s="44">
        <v>71</v>
      </c>
      <c r="AD74" s="46"/>
      <c r="AE74" s="46"/>
      <c r="AF74" s="46"/>
      <c r="AG74" s="46"/>
      <c r="AH74" s="46"/>
      <c r="AO74">
        <v>71</v>
      </c>
      <c r="AP74" s="1" t="s">
        <v>514</v>
      </c>
      <c r="AQ74" s="30">
        <v>30</v>
      </c>
    </row>
    <row r="75" spans="1:43" ht="15.95" customHeight="1" x14ac:dyDescent="0.25">
      <c r="A75" s="29" t="s">
        <v>112</v>
      </c>
      <c r="B75" s="31">
        <v>0.25763888888888892</v>
      </c>
      <c r="C75" s="31">
        <v>0.74791666666666667</v>
      </c>
      <c r="D75" s="31">
        <v>0.19097222222222221</v>
      </c>
      <c r="E75" s="31">
        <v>0.81458333333333333</v>
      </c>
      <c r="F75" s="31">
        <v>0.21458333333333335</v>
      </c>
      <c r="G75" s="31">
        <v>0.7909722222222223</v>
      </c>
      <c r="H75" s="31">
        <v>0.23750000000000002</v>
      </c>
      <c r="I75" s="31">
        <v>0.7680555555555556</v>
      </c>
      <c r="J75" s="31">
        <v>0.50277777777777777</v>
      </c>
      <c r="K75" s="30">
        <f>((K95-K64)/31)+K74</f>
        <v>50.258064516129068</v>
      </c>
      <c r="L75" s="30">
        <f>((L95-L64)/31)+L74</f>
        <v>41.548387096774171</v>
      </c>
      <c r="M75" s="90">
        <v>40.59354838709676</v>
      </c>
      <c r="N75" s="89">
        <f t="shared" si="13"/>
        <v>14.667741935483862</v>
      </c>
      <c r="O75" s="106">
        <f t="shared" si="14"/>
        <v>44.290322580645181</v>
      </c>
      <c r="P75" s="108">
        <v>25.554838709677401</v>
      </c>
      <c r="Q75" s="108">
        <v>11.354838709677429</v>
      </c>
      <c r="R75" s="107">
        <v>24.064516129032267</v>
      </c>
      <c r="S75" s="41" t="s">
        <v>431</v>
      </c>
      <c r="T75" s="41" t="s">
        <v>435</v>
      </c>
      <c r="U75" s="33"/>
      <c r="V75" s="44">
        <v>72</v>
      </c>
      <c r="W75" s="46">
        <f t="shared" si="10"/>
        <v>2.8800000000000008</v>
      </c>
      <c r="X75" s="46">
        <f t="shared" si="9"/>
        <v>4.5</v>
      </c>
      <c r="Y75" s="46">
        <f t="shared" si="8"/>
        <v>5.9999999999999964</v>
      </c>
      <c r="Z75" s="46">
        <f t="shared" si="7"/>
        <v>7.1999999999999957</v>
      </c>
      <c r="AA75" s="46">
        <f t="shared" ref="AA75:AA103" si="15">AA74+(1/5)</f>
        <v>14.399999999999995</v>
      </c>
      <c r="AC75" s="44">
        <v>72</v>
      </c>
      <c r="AD75" s="46"/>
      <c r="AE75" s="46"/>
      <c r="AF75" s="46"/>
      <c r="AG75" s="46"/>
      <c r="AH75" s="46"/>
      <c r="AO75">
        <v>72</v>
      </c>
      <c r="AP75" s="1" t="s">
        <v>514</v>
      </c>
      <c r="AQ75" s="30">
        <v>30</v>
      </c>
    </row>
    <row r="76" spans="1:43" ht="15.95" customHeight="1" x14ac:dyDescent="0.25">
      <c r="A76" s="29" t="s">
        <v>113</v>
      </c>
      <c r="B76" s="31">
        <v>0.25625000000000003</v>
      </c>
      <c r="C76" s="31">
        <v>0.74930555555555556</v>
      </c>
      <c r="D76" s="31">
        <v>0.18958333333333333</v>
      </c>
      <c r="E76" s="31">
        <v>0.81597222222222221</v>
      </c>
      <c r="F76" s="31">
        <v>0.21319444444444444</v>
      </c>
      <c r="G76" s="31">
        <v>0.79236111111111107</v>
      </c>
      <c r="H76" s="31">
        <v>0.23611111111111113</v>
      </c>
      <c r="I76" s="31">
        <v>0.76874999999999993</v>
      </c>
      <c r="J76" s="31">
        <v>0.50208333333333333</v>
      </c>
      <c r="K76" s="30">
        <f>((K95-K64)/31)+K75</f>
        <v>50.645161290322619</v>
      </c>
      <c r="L76" s="30">
        <f>((L95-L64)/31)+L75</f>
        <v>41.870967741935459</v>
      </c>
      <c r="M76" s="90">
        <v>40.88387096774192</v>
      </c>
      <c r="N76" s="89">
        <f t="shared" si="13"/>
        <v>15.219354838709668</v>
      </c>
      <c r="O76" s="106">
        <f t="shared" si="14"/>
        <v>44.225806451612925</v>
      </c>
      <c r="P76" s="108">
        <v>25.787096774193529</v>
      </c>
      <c r="Q76" s="108">
        <v>11.387096774193559</v>
      </c>
      <c r="R76" s="107">
        <v>24.161290322580655</v>
      </c>
      <c r="S76" s="41" t="s">
        <v>431</v>
      </c>
      <c r="T76" s="41" t="s">
        <v>435</v>
      </c>
      <c r="U76" s="33"/>
      <c r="V76" s="44">
        <v>73</v>
      </c>
      <c r="W76" s="46">
        <f t="shared" si="10"/>
        <v>2.9200000000000008</v>
      </c>
      <c r="X76" s="46">
        <f t="shared" si="9"/>
        <v>4.5625</v>
      </c>
      <c r="Y76" s="46">
        <f t="shared" si="8"/>
        <v>6.0833333333333295</v>
      </c>
      <c r="Z76" s="46">
        <f t="shared" si="7"/>
        <v>7.2999999999999954</v>
      </c>
      <c r="AA76" s="46">
        <f t="shared" si="15"/>
        <v>14.599999999999994</v>
      </c>
      <c r="AC76" s="44">
        <v>73</v>
      </c>
      <c r="AD76" s="46"/>
      <c r="AE76" s="46"/>
      <c r="AF76" s="46"/>
      <c r="AG76" s="46"/>
      <c r="AH76" s="46"/>
      <c r="AO76">
        <v>73</v>
      </c>
      <c r="AP76" s="1" t="s">
        <v>514</v>
      </c>
      <c r="AQ76" s="30">
        <v>30</v>
      </c>
    </row>
    <row r="77" spans="1:43" ht="15.95" customHeight="1" x14ac:dyDescent="0.25">
      <c r="A77" s="29" t="s">
        <v>114</v>
      </c>
      <c r="B77" s="31">
        <v>0.25486111111111109</v>
      </c>
      <c r="C77" s="31">
        <v>0.75</v>
      </c>
      <c r="D77" s="31">
        <v>0.18819444444444444</v>
      </c>
      <c r="E77" s="31">
        <v>0.81666666666666676</v>
      </c>
      <c r="F77" s="31">
        <v>0.21180555555555555</v>
      </c>
      <c r="G77" s="31">
        <v>0.79305555555555562</v>
      </c>
      <c r="H77" s="31">
        <v>0.23541666666666669</v>
      </c>
      <c r="I77" s="31">
        <v>0.76944444444444438</v>
      </c>
      <c r="J77" s="31">
        <v>0.50208333333333333</v>
      </c>
      <c r="K77" s="30">
        <f>((K95-K64)/31)+K76</f>
        <v>51.032258064516171</v>
      </c>
      <c r="L77" s="30">
        <f>((L95-L64)/31)+L76</f>
        <v>42.193548387096747</v>
      </c>
      <c r="M77" s="90">
        <v>41.17419354838708</v>
      </c>
      <c r="N77" s="89">
        <f t="shared" si="13"/>
        <v>15.770967741935474</v>
      </c>
      <c r="O77" s="106">
        <f t="shared" si="14"/>
        <v>44.161290322580669</v>
      </c>
      <c r="P77" s="108">
        <v>26.019354838709656</v>
      </c>
      <c r="Q77" s="108">
        <v>11.419354838709689</v>
      </c>
      <c r="R77" s="107">
        <v>24.258064516129043</v>
      </c>
      <c r="S77" s="41" t="s">
        <v>431</v>
      </c>
      <c r="T77" s="41" t="s">
        <v>435</v>
      </c>
      <c r="U77" s="33"/>
      <c r="V77" s="44">
        <v>74</v>
      </c>
      <c r="W77" s="46">
        <f t="shared" si="10"/>
        <v>2.9600000000000009</v>
      </c>
      <c r="X77" s="46">
        <f t="shared" si="9"/>
        <v>4.625</v>
      </c>
      <c r="Y77" s="46">
        <f t="shared" si="8"/>
        <v>6.1666666666666625</v>
      </c>
      <c r="Z77" s="46">
        <f t="shared" si="7"/>
        <v>7.399999999999995</v>
      </c>
      <c r="AA77" s="46">
        <f t="shared" si="15"/>
        <v>14.799999999999994</v>
      </c>
      <c r="AC77" s="44">
        <v>74</v>
      </c>
      <c r="AD77" s="46"/>
      <c r="AE77" s="46"/>
      <c r="AF77" s="46"/>
      <c r="AG77" s="46"/>
      <c r="AH77" s="46"/>
      <c r="AO77">
        <v>74</v>
      </c>
      <c r="AP77" s="1" t="s">
        <v>514</v>
      </c>
      <c r="AQ77" s="30">
        <v>30</v>
      </c>
    </row>
    <row r="78" spans="1:43" ht="15.95" customHeight="1" x14ac:dyDescent="0.25">
      <c r="A78" s="29" t="s">
        <v>115</v>
      </c>
      <c r="B78" s="31">
        <v>0.25347222222222221</v>
      </c>
      <c r="C78" s="31">
        <v>0.75069444444444444</v>
      </c>
      <c r="D78" s="31">
        <v>0.18680555555555556</v>
      </c>
      <c r="E78" s="31">
        <v>0.81736111111111109</v>
      </c>
      <c r="F78" s="31">
        <v>0.21041666666666667</v>
      </c>
      <c r="G78" s="31">
        <v>0.79375000000000007</v>
      </c>
      <c r="H78" s="31">
        <v>0.23402777777777781</v>
      </c>
      <c r="I78" s="31">
        <v>0.77083333333333337</v>
      </c>
      <c r="J78" s="31">
        <v>0.50208333333333333</v>
      </c>
      <c r="K78" s="30">
        <f>((K95-K64)/31)+K77</f>
        <v>51.419354838709722</v>
      </c>
      <c r="L78" s="30">
        <f>((L95-L64)/31)+L77</f>
        <v>42.516129032258036</v>
      </c>
      <c r="M78" s="90">
        <v>41.464516129032241</v>
      </c>
      <c r="N78" s="89">
        <f t="shared" si="13"/>
        <v>16.322580645161281</v>
      </c>
      <c r="O78" s="106">
        <f t="shared" si="14"/>
        <v>44.096774193548413</v>
      </c>
      <c r="P78" s="108">
        <v>26.251612903225784</v>
      </c>
      <c r="Q78" s="108">
        <v>11.451612903225818</v>
      </c>
      <c r="R78" s="107">
        <v>24.354838709677431</v>
      </c>
      <c r="S78" s="41" t="s">
        <v>431</v>
      </c>
      <c r="T78" s="41" t="s">
        <v>435</v>
      </c>
      <c r="U78" s="33"/>
      <c r="V78" s="44">
        <v>75</v>
      </c>
      <c r="W78" s="46">
        <f t="shared" si="10"/>
        <v>3.0000000000000009</v>
      </c>
      <c r="X78" s="46">
        <f t="shared" si="9"/>
        <v>4.6875</v>
      </c>
      <c r="Y78" s="46">
        <f t="shared" si="8"/>
        <v>6.2499999999999956</v>
      </c>
      <c r="Z78" s="46">
        <f t="shared" si="7"/>
        <v>7.4999999999999947</v>
      </c>
      <c r="AA78" s="46">
        <f t="shared" si="15"/>
        <v>14.999999999999993</v>
      </c>
      <c r="AC78" s="44">
        <v>75</v>
      </c>
      <c r="AD78" s="46"/>
      <c r="AE78" s="46"/>
      <c r="AF78" s="46"/>
      <c r="AG78" s="46"/>
      <c r="AH78" s="46"/>
      <c r="AO78">
        <v>75</v>
      </c>
      <c r="AP78" s="1" t="s">
        <v>514</v>
      </c>
      <c r="AQ78" s="30">
        <v>30</v>
      </c>
    </row>
    <row r="79" spans="1:43" ht="15.95" customHeight="1" x14ac:dyDescent="0.25">
      <c r="A79" s="29" t="s">
        <v>116</v>
      </c>
      <c r="B79" s="31">
        <v>0.25277777777777777</v>
      </c>
      <c r="C79" s="31">
        <v>0.75138888888888899</v>
      </c>
      <c r="D79" s="31">
        <v>0.18611111111111112</v>
      </c>
      <c r="E79" s="31">
        <v>0.81874999999999998</v>
      </c>
      <c r="F79" s="31">
        <v>0.20972222222222223</v>
      </c>
      <c r="G79" s="31">
        <v>0.7944444444444444</v>
      </c>
      <c r="H79" s="31">
        <v>0.23263888888888887</v>
      </c>
      <c r="I79" s="31">
        <v>0.7715277777777777</v>
      </c>
      <c r="J79" s="31">
        <v>0.50208333333333333</v>
      </c>
      <c r="K79" s="30">
        <f>((K95-K64)/31)+K78</f>
        <v>51.806451612903274</v>
      </c>
      <c r="L79" s="30">
        <f>((L95-L64)/31)+L78</f>
        <v>42.838709677419324</v>
      </c>
      <c r="M79" s="90">
        <v>41.754838709677401</v>
      </c>
      <c r="N79" s="89">
        <f t="shared" si="13"/>
        <v>16.874193548387087</v>
      </c>
      <c r="O79" s="106">
        <f t="shared" si="14"/>
        <v>44.032258064516157</v>
      </c>
      <c r="P79" s="108">
        <v>26.483870967741911</v>
      </c>
      <c r="Q79" s="108">
        <v>11.483870967741948</v>
      </c>
      <c r="R79" s="107">
        <v>24.451612903225818</v>
      </c>
      <c r="S79" s="41" t="s">
        <v>431</v>
      </c>
      <c r="T79" s="41" t="s">
        <v>435</v>
      </c>
      <c r="U79" s="33"/>
      <c r="V79" s="44">
        <v>76</v>
      </c>
      <c r="W79" s="46">
        <f t="shared" si="10"/>
        <v>3.0400000000000009</v>
      </c>
      <c r="X79" s="46">
        <f t="shared" si="9"/>
        <v>4.75</v>
      </c>
      <c r="Y79" s="46">
        <f t="shared" si="8"/>
        <v>6.3333333333333286</v>
      </c>
      <c r="Z79" s="46">
        <f t="shared" ref="Z79:Z103" si="16">Z78+(1/10)</f>
        <v>7.5999999999999943</v>
      </c>
      <c r="AA79" s="46">
        <f t="shared" si="15"/>
        <v>15.199999999999992</v>
      </c>
      <c r="AC79" s="44">
        <v>76</v>
      </c>
      <c r="AD79" s="46">
        <v>25</v>
      </c>
      <c r="AE79" s="46"/>
      <c r="AF79" s="46"/>
      <c r="AG79" s="46"/>
      <c r="AH79" s="46"/>
      <c r="AO79">
        <v>76</v>
      </c>
      <c r="AP79" s="1" t="s">
        <v>514</v>
      </c>
      <c r="AQ79" s="30">
        <v>30</v>
      </c>
    </row>
    <row r="80" spans="1:43" ht="15.95" customHeight="1" x14ac:dyDescent="0.25">
      <c r="A80" s="29" t="s">
        <v>117</v>
      </c>
      <c r="B80" s="31">
        <v>0.25138888888888888</v>
      </c>
      <c r="C80" s="31">
        <v>0.75208333333333333</v>
      </c>
      <c r="D80" s="31">
        <v>0.18472222222222223</v>
      </c>
      <c r="E80" s="31">
        <v>0.81944444444444453</v>
      </c>
      <c r="F80" s="31">
        <v>0.20833333333333334</v>
      </c>
      <c r="G80" s="31">
        <v>0.79583333333333339</v>
      </c>
      <c r="H80" s="31">
        <v>0.23124999999999998</v>
      </c>
      <c r="I80" s="31">
        <v>0.77222222222222225</v>
      </c>
      <c r="J80" s="31">
        <v>0.50138888888888888</v>
      </c>
      <c r="K80" s="30">
        <f>((K95-K64)/31)+K79</f>
        <v>52.193548387096826</v>
      </c>
      <c r="L80" s="30">
        <f>((L95-L64)/31)+L79</f>
        <v>43.161290322580612</v>
      </c>
      <c r="M80" s="90">
        <v>42.045161290322561</v>
      </c>
      <c r="N80" s="89">
        <f t="shared" si="13"/>
        <v>17.425806451612893</v>
      </c>
      <c r="O80" s="106">
        <f t="shared" si="14"/>
        <v>43.9677419354839</v>
      </c>
      <c r="P80" s="108">
        <v>26.716129032258038</v>
      </c>
      <c r="Q80" s="108">
        <v>11.516129032258078</v>
      </c>
      <c r="R80" s="107">
        <v>24.548387096774206</v>
      </c>
      <c r="S80" s="41" t="s">
        <v>431</v>
      </c>
      <c r="T80" s="41" t="s">
        <v>435</v>
      </c>
      <c r="U80" s="33"/>
      <c r="V80" s="44">
        <v>77</v>
      </c>
      <c r="W80" s="46">
        <f t="shared" si="10"/>
        <v>3.080000000000001</v>
      </c>
      <c r="X80" s="46">
        <f t="shared" si="9"/>
        <v>4.8125</v>
      </c>
      <c r="Y80" s="46">
        <f t="shared" si="8"/>
        <v>6.4166666666666616</v>
      </c>
      <c r="Z80" s="46">
        <f t="shared" si="16"/>
        <v>7.699999999999994</v>
      </c>
      <c r="AA80" s="46">
        <f t="shared" si="15"/>
        <v>15.399999999999991</v>
      </c>
      <c r="AC80" s="44">
        <v>77</v>
      </c>
      <c r="AD80" s="46">
        <v>25</v>
      </c>
      <c r="AE80" s="46"/>
      <c r="AF80" s="46"/>
      <c r="AG80" s="46"/>
      <c r="AH80" s="46"/>
      <c r="AO80">
        <v>77</v>
      </c>
      <c r="AP80" s="1" t="s">
        <v>514</v>
      </c>
      <c r="AQ80" s="30">
        <v>30</v>
      </c>
    </row>
    <row r="81" spans="1:43" ht="15.95" customHeight="1" x14ac:dyDescent="0.25">
      <c r="A81" s="29" t="s">
        <v>118</v>
      </c>
      <c r="B81" s="31">
        <v>0.25</v>
      </c>
      <c r="C81" s="31">
        <v>0.75347222222222221</v>
      </c>
      <c r="D81" s="31">
        <v>0.18333333333333335</v>
      </c>
      <c r="E81" s="31">
        <v>0.82013888888888886</v>
      </c>
      <c r="F81" s="31">
        <v>0.20694444444444446</v>
      </c>
      <c r="G81" s="31">
        <v>0.79652777777777783</v>
      </c>
      <c r="H81" s="31">
        <v>0.2298611111111111</v>
      </c>
      <c r="I81" s="31">
        <v>0.7729166666666667</v>
      </c>
      <c r="J81" s="31">
        <v>0.50138888888888888</v>
      </c>
      <c r="K81" s="30">
        <f>((K95-K64)/31)+K80</f>
        <v>52.580645161290377</v>
      </c>
      <c r="L81" s="30">
        <f>((L95-L64)/31)+L80</f>
        <v>43.4838709677419</v>
      </c>
      <c r="M81" s="90">
        <v>42.335483870967721</v>
      </c>
      <c r="N81" s="89">
        <f t="shared" si="13"/>
        <v>17.977419354838698</v>
      </c>
      <c r="O81" s="106">
        <f t="shared" si="14"/>
        <v>43.903225806451644</v>
      </c>
      <c r="P81" s="108">
        <v>26.948387096774166</v>
      </c>
      <c r="Q81" s="108">
        <v>11.548387096774208</v>
      </c>
      <c r="R81" s="107">
        <v>24.645161290322594</v>
      </c>
      <c r="S81" s="41" t="s">
        <v>431</v>
      </c>
      <c r="T81" s="41" t="s">
        <v>435</v>
      </c>
      <c r="U81" s="33"/>
      <c r="V81" s="44">
        <v>78</v>
      </c>
      <c r="W81" s="46">
        <f t="shared" si="10"/>
        <v>3.120000000000001</v>
      </c>
      <c r="X81" s="46">
        <f t="shared" si="9"/>
        <v>4.875</v>
      </c>
      <c r="Y81" s="46">
        <f t="shared" ref="Y81:Y99" si="17">Y80+(1/12)</f>
        <v>6.4999999999999947</v>
      </c>
      <c r="Z81" s="46">
        <f t="shared" si="16"/>
        <v>7.7999999999999936</v>
      </c>
      <c r="AA81" s="46">
        <f t="shared" si="15"/>
        <v>15.599999999999991</v>
      </c>
      <c r="AC81" s="44">
        <v>78</v>
      </c>
      <c r="AD81" s="46">
        <v>25</v>
      </c>
      <c r="AE81" s="46"/>
      <c r="AF81" s="46"/>
      <c r="AG81" s="46"/>
      <c r="AH81" s="46"/>
      <c r="AO81">
        <v>78</v>
      </c>
      <c r="AP81" s="1" t="s">
        <v>514</v>
      </c>
      <c r="AQ81" s="30">
        <v>30</v>
      </c>
    </row>
    <row r="82" spans="1:43" ht="15.95" customHeight="1" x14ac:dyDescent="0.25">
      <c r="A82" s="29" t="s">
        <v>119</v>
      </c>
      <c r="B82" s="31">
        <v>0.24861111111111112</v>
      </c>
      <c r="C82" s="31">
        <v>0.75416666666666676</v>
      </c>
      <c r="D82" s="31">
        <v>0.18194444444444444</v>
      </c>
      <c r="E82" s="31">
        <v>0.82152777777777775</v>
      </c>
      <c r="F82" s="31">
        <v>0.20555555555555557</v>
      </c>
      <c r="G82" s="31">
        <v>0.79722222222222217</v>
      </c>
      <c r="H82" s="31">
        <v>0.22916666666666666</v>
      </c>
      <c r="I82" s="31">
        <v>0.77430555555555547</v>
      </c>
      <c r="J82" s="31">
        <v>0.50138888888888888</v>
      </c>
      <c r="K82" s="30">
        <f>((K95-K64)/31)+K81</f>
        <v>52.967741935483929</v>
      </c>
      <c r="L82" s="30">
        <f>((L95-L64)/31)+L81</f>
        <v>43.806451612903189</v>
      </c>
      <c r="M82" s="90">
        <v>42.625806451612881</v>
      </c>
      <c r="N82" s="89">
        <f t="shared" si="13"/>
        <v>18.529032258064504</v>
      </c>
      <c r="O82" s="106">
        <f t="shared" si="14"/>
        <v>43.838709677419388</v>
      </c>
      <c r="P82" s="108">
        <v>27.180645161290293</v>
      </c>
      <c r="Q82" s="108">
        <v>11.580645161290338</v>
      </c>
      <c r="R82" s="107">
        <v>24.741935483870982</v>
      </c>
      <c r="S82" s="41" t="s">
        <v>431</v>
      </c>
      <c r="T82" s="41" t="s">
        <v>435</v>
      </c>
      <c r="U82" s="33"/>
      <c r="V82" s="44">
        <v>79</v>
      </c>
      <c r="W82" s="46">
        <f t="shared" si="10"/>
        <v>3.160000000000001</v>
      </c>
      <c r="X82" s="46">
        <f t="shared" si="9"/>
        <v>4.9375</v>
      </c>
      <c r="Y82" s="46">
        <f t="shared" si="17"/>
        <v>6.5833333333333277</v>
      </c>
      <c r="Z82" s="46">
        <f t="shared" si="16"/>
        <v>7.8999999999999932</v>
      </c>
      <c r="AA82" s="46">
        <f t="shared" si="15"/>
        <v>15.79999999999999</v>
      </c>
      <c r="AC82" s="44">
        <v>79</v>
      </c>
      <c r="AD82" s="46">
        <v>25</v>
      </c>
      <c r="AE82" s="46"/>
      <c r="AF82" s="46"/>
      <c r="AG82" s="46"/>
      <c r="AH82" s="46"/>
      <c r="AO82">
        <v>79</v>
      </c>
      <c r="AP82" s="1" t="s">
        <v>514</v>
      </c>
      <c r="AQ82" s="30">
        <v>30</v>
      </c>
    </row>
    <row r="83" spans="1:43" ht="15.95" customHeight="1" x14ac:dyDescent="0.25">
      <c r="A83" s="29" t="s">
        <v>120</v>
      </c>
      <c r="B83" s="31">
        <v>0.24722222222222223</v>
      </c>
      <c r="C83" s="31">
        <v>0.75486111111111109</v>
      </c>
      <c r="D83" s="31">
        <v>0.18055555555555555</v>
      </c>
      <c r="E83" s="31">
        <v>0.8222222222222223</v>
      </c>
      <c r="F83" s="31">
        <v>0.20416666666666669</v>
      </c>
      <c r="G83" s="31">
        <v>0.79791666666666661</v>
      </c>
      <c r="H83" s="31">
        <v>0.22777777777777777</v>
      </c>
      <c r="I83" s="31">
        <v>0.77500000000000002</v>
      </c>
      <c r="J83" s="31">
        <v>0.50069444444444444</v>
      </c>
      <c r="K83" s="30">
        <f>((K95-K64)/31)+K82</f>
        <v>53.35483870967748</v>
      </c>
      <c r="L83" s="30">
        <f>((L95-L64)/31)+L82</f>
        <v>44.129032258064477</v>
      </c>
      <c r="M83" s="90">
        <v>42.916129032258041</v>
      </c>
      <c r="N83" s="89">
        <f t="shared" si="13"/>
        <v>19.08064516129031</v>
      </c>
      <c r="O83" s="106">
        <f t="shared" si="14"/>
        <v>43.774193548387132</v>
      </c>
      <c r="P83" s="108">
        <v>27.412903225806421</v>
      </c>
      <c r="Q83" s="108">
        <v>11.612903225806468</v>
      </c>
      <c r="R83" s="107">
        <v>24.83870967741937</v>
      </c>
      <c r="S83" s="41" t="s">
        <v>431</v>
      </c>
      <c r="T83" s="41" t="s">
        <v>435</v>
      </c>
      <c r="U83" s="33"/>
      <c r="V83" s="44">
        <v>80</v>
      </c>
      <c r="W83" s="46">
        <f t="shared" si="10"/>
        <v>3.2000000000000011</v>
      </c>
      <c r="X83" s="46">
        <f t="shared" si="9"/>
        <v>5</v>
      </c>
      <c r="Y83" s="46">
        <f t="shared" si="17"/>
        <v>6.6666666666666607</v>
      </c>
      <c r="Z83" s="46">
        <f t="shared" si="16"/>
        <v>7.9999999999999929</v>
      </c>
      <c r="AA83" s="46">
        <f t="shared" si="15"/>
        <v>15.999999999999989</v>
      </c>
      <c r="AC83" s="44">
        <v>80</v>
      </c>
      <c r="AD83" s="46">
        <v>25</v>
      </c>
      <c r="AE83" s="46"/>
      <c r="AF83" s="46"/>
      <c r="AG83" s="46"/>
      <c r="AH83" s="46"/>
      <c r="AO83">
        <v>80</v>
      </c>
      <c r="AP83" s="1" t="s">
        <v>514</v>
      </c>
      <c r="AQ83" s="30">
        <v>30</v>
      </c>
    </row>
    <row r="84" spans="1:43" ht="15.95" customHeight="1" x14ac:dyDescent="0.25">
      <c r="A84" s="29" t="s">
        <v>121</v>
      </c>
      <c r="B84" s="31">
        <v>0.24652777777777779</v>
      </c>
      <c r="C84" s="31">
        <v>0.75555555555555554</v>
      </c>
      <c r="D84" s="31">
        <v>0.17916666666666667</v>
      </c>
      <c r="E84" s="31">
        <v>0.82291666666666663</v>
      </c>
      <c r="F84" s="31">
        <v>0.20277777777777781</v>
      </c>
      <c r="G84" s="31">
        <v>0.7993055555555556</v>
      </c>
      <c r="H84" s="31">
        <v>0.22638888888888889</v>
      </c>
      <c r="I84" s="31">
        <v>0.77569444444444446</v>
      </c>
      <c r="J84" s="31">
        <v>0.50069444444444444</v>
      </c>
      <c r="K84" s="30">
        <f>((K95-K64)/31)+K83</f>
        <v>53.741935483871032</v>
      </c>
      <c r="L84" s="30">
        <f>((L95-L64)/31)+L83</f>
        <v>44.451612903225765</v>
      </c>
      <c r="M84" s="90">
        <v>43.206451612903201</v>
      </c>
      <c r="N84" s="89">
        <f t="shared" si="13"/>
        <v>19.632258064516115</v>
      </c>
      <c r="O84" s="106">
        <f t="shared" si="14"/>
        <v>43.709677419354875</v>
      </c>
      <c r="P84" s="108">
        <v>27.645161290322548</v>
      </c>
      <c r="Q84" s="108">
        <v>11.645161290322598</v>
      </c>
      <c r="R84" s="107">
        <v>24.935483870967758</v>
      </c>
      <c r="S84" s="41" t="s">
        <v>431</v>
      </c>
      <c r="T84" s="41" t="s">
        <v>435</v>
      </c>
      <c r="U84" s="33"/>
      <c r="V84" s="44">
        <v>81</v>
      </c>
      <c r="W84" s="46">
        <f t="shared" si="10"/>
        <v>3.2400000000000011</v>
      </c>
      <c r="X84" s="46">
        <f t="shared" si="9"/>
        <v>5.0625</v>
      </c>
      <c r="Y84" s="46">
        <f t="shared" si="17"/>
        <v>6.7499999999999938</v>
      </c>
      <c r="Z84" s="46">
        <f t="shared" si="16"/>
        <v>8.0999999999999925</v>
      </c>
      <c r="AA84" s="46">
        <f t="shared" si="15"/>
        <v>16.199999999999989</v>
      </c>
      <c r="AC84" s="44">
        <v>81</v>
      </c>
      <c r="AD84" s="46">
        <v>25</v>
      </c>
      <c r="AE84" s="46">
        <v>25</v>
      </c>
      <c r="AF84" s="46"/>
      <c r="AG84" s="46"/>
      <c r="AH84" s="46"/>
      <c r="AO84">
        <v>81</v>
      </c>
      <c r="AP84" s="1" t="s">
        <v>514</v>
      </c>
      <c r="AQ84" s="30">
        <v>30</v>
      </c>
    </row>
    <row r="85" spans="1:43" ht="15.95" customHeight="1" x14ac:dyDescent="0.25">
      <c r="A85" s="29" t="s">
        <v>122</v>
      </c>
      <c r="B85" s="31">
        <v>0.24513888888888888</v>
      </c>
      <c r="C85" s="31">
        <v>0.75624999999999998</v>
      </c>
      <c r="D85" s="31">
        <v>0.17777777777777778</v>
      </c>
      <c r="E85" s="31">
        <v>0.82430555555555562</v>
      </c>
      <c r="F85" s="31">
        <v>0.20138888888888887</v>
      </c>
      <c r="G85" s="31">
        <v>0.79999999999999993</v>
      </c>
      <c r="H85" s="31">
        <v>0.22500000000000001</v>
      </c>
      <c r="I85" s="31">
        <v>0.77638888888888891</v>
      </c>
      <c r="J85" s="31">
        <v>0.50069444444444444</v>
      </c>
      <c r="K85" s="30">
        <f>((K95-K64)/31)+K84</f>
        <v>54.129032258064584</v>
      </c>
      <c r="L85" s="30">
        <f>((L95-L64)/31)+L84</f>
        <v>44.774193548387053</v>
      </c>
      <c r="M85" s="90">
        <v>43.496774193548362</v>
      </c>
      <c r="N85" s="89">
        <f t="shared" si="13"/>
        <v>20.183870967741921</v>
      </c>
      <c r="O85" s="106">
        <f t="shared" si="14"/>
        <v>43.645161290322619</v>
      </c>
      <c r="P85" s="108">
        <v>27.877419354838676</v>
      </c>
      <c r="Q85" s="108">
        <v>11.677419354838728</v>
      </c>
      <c r="R85" s="107">
        <v>25.032258064516146</v>
      </c>
      <c r="S85" s="41" t="s">
        <v>431</v>
      </c>
      <c r="T85" s="41" t="s">
        <v>435</v>
      </c>
      <c r="U85" s="33"/>
      <c r="V85" s="44">
        <v>82</v>
      </c>
      <c r="W85" s="46">
        <f t="shared" si="10"/>
        <v>3.2800000000000011</v>
      </c>
      <c r="X85" s="46">
        <f t="shared" ref="X85:X99" si="18">X84+(1/16)</f>
        <v>5.125</v>
      </c>
      <c r="Y85" s="46">
        <f t="shared" si="17"/>
        <v>6.8333333333333268</v>
      </c>
      <c r="Z85" s="46">
        <f t="shared" si="16"/>
        <v>8.1999999999999922</v>
      </c>
      <c r="AA85" s="46">
        <f t="shared" si="15"/>
        <v>16.399999999999988</v>
      </c>
      <c r="AC85" s="44">
        <v>82</v>
      </c>
      <c r="AD85" s="46">
        <v>25</v>
      </c>
      <c r="AE85" s="46">
        <v>25</v>
      </c>
      <c r="AF85" s="46"/>
      <c r="AG85" s="46"/>
      <c r="AH85" s="46"/>
      <c r="AO85">
        <v>82</v>
      </c>
      <c r="AP85" s="1" t="s">
        <v>514</v>
      </c>
      <c r="AQ85" s="30">
        <v>30</v>
      </c>
    </row>
    <row r="86" spans="1:43" ht="15.95" customHeight="1" x14ac:dyDescent="0.25">
      <c r="A86" s="29" t="s">
        <v>123</v>
      </c>
      <c r="B86" s="31">
        <v>0.24374999999999999</v>
      </c>
      <c r="C86" s="31">
        <v>0.75763888888888886</v>
      </c>
      <c r="D86" s="31">
        <v>0.1763888888888889</v>
      </c>
      <c r="E86" s="31">
        <v>0.82500000000000007</v>
      </c>
      <c r="F86" s="31">
        <v>0.19999999999999998</v>
      </c>
      <c r="G86" s="31">
        <v>0.80069444444444438</v>
      </c>
      <c r="H86" s="31">
        <v>0.22361111111111109</v>
      </c>
      <c r="I86" s="31">
        <v>0.77708333333333324</v>
      </c>
      <c r="J86" s="31">
        <v>0.5</v>
      </c>
      <c r="K86" s="30">
        <f>((K95-K64)/31)+K85</f>
        <v>54.516129032258135</v>
      </c>
      <c r="L86" s="30">
        <f>((L95-L64)/31)+L85</f>
        <v>45.096774193548342</v>
      </c>
      <c r="M86" s="90">
        <v>43.787096774193522</v>
      </c>
      <c r="N86" s="89">
        <f t="shared" si="13"/>
        <v>20.735483870967727</v>
      </c>
      <c r="O86" s="106">
        <f t="shared" si="14"/>
        <v>43.580645161290363</v>
      </c>
      <c r="P86" s="108">
        <v>28.109677419354803</v>
      </c>
      <c r="Q86" s="108">
        <v>11.709677419354858</v>
      </c>
      <c r="R86" s="107">
        <v>25.129032258064534</v>
      </c>
      <c r="S86" s="41" t="s">
        <v>431</v>
      </c>
      <c r="T86" s="41" t="s">
        <v>435</v>
      </c>
      <c r="U86" s="33"/>
      <c r="V86" s="44">
        <v>83</v>
      </c>
      <c r="W86" s="46">
        <f t="shared" si="10"/>
        <v>3.3200000000000012</v>
      </c>
      <c r="X86" s="46">
        <f t="shared" si="18"/>
        <v>5.1875</v>
      </c>
      <c r="Y86" s="46">
        <f t="shared" si="17"/>
        <v>6.9166666666666599</v>
      </c>
      <c r="Z86" s="46">
        <f t="shared" si="16"/>
        <v>8.2999999999999918</v>
      </c>
      <c r="AA86" s="46">
        <f t="shared" si="15"/>
        <v>16.599999999999987</v>
      </c>
      <c r="AC86" s="44">
        <v>83</v>
      </c>
      <c r="AD86" s="46">
        <v>25</v>
      </c>
      <c r="AE86" s="46">
        <v>25</v>
      </c>
      <c r="AF86" s="46"/>
      <c r="AG86" s="46"/>
      <c r="AH86" s="46"/>
      <c r="AO86">
        <v>83</v>
      </c>
      <c r="AP86" s="1" t="s">
        <v>514</v>
      </c>
      <c r="AQ86" s="30">
        <v>30</v>
      </c>
    </row>
    <row r="87" spans="1:43" ht="15.95" customHeight="1" x14ac:dyDescent="0.25">
      <c r="A87" s="29" t="s">
        <v>124</v>
      </c>
      <c r="B87" s="31">
        <v>0.24236111111111111</v>
      </c>
      <c r="C87" s="31">
        <v>0.7583333333333333</v>
      </c>
      <c r="D87" s="31">
        <v>0.17500000000000002</v>
      </c>
      <c r="E87" s="31">
        <v>0.82638888888888884</v>
      </c>
      <c r="F87" s="31">
        <v>0.19930555555555554</v>
      </c>
      <c r="G87" s="31">
        <v>0.80208333333333337</v>
      </c>
      <c r="H87" s="31">
        <v>0.22222222222222221</v>
      </c>
      <c r="I87" s="31">
        <v>0.77847222222222223</v>
      </c>
      <c r="J87" s="31">
        <v>0.5</v>
      </c>
      <c r="K87" s="30">
        <f>((K95-K64)/31)+K86</f>
        <v>54.903225806451687</v>
      </c>
      <c r="L87" s="30">
        <f>((L95-L64)/31)+L86</f>
        <v>45.41935483870963</v>
      </c>
      <c r="M87" s="90">
        <v>44.077419354838682</v>
      </c>
      <c r="N87" s="89">
        <f t="shared" si="13"/>
        <v>21.287096774193532</v>
      </c>
      <c r="O87" s="106">
        <f t="shared" si="14"/>
        <v>43.516129032258107</v>
      </c>
      <c r="P87" s="108">
        <v>28.34193548387093</v>
      </c>
      <c r="Q87" s="108">
        <v>11.741935483870988</v>
      </c>
      <c r="R87" s="107">
        <v>25.225806451612922</v>
      </c>
      <c r="S87" s="41" t="s">
        <v>431</v>
      </c>
      <c r="T87" s="41" t="s">
        <v>435</v>
      </c>
      <c r="U87" s="33"/>
      <c r="V87" s="44">
        <v>84</v>
      </c>
      <c r="W87" s="46">
        <f t="shared" si="10"/>
        <v>3.3600000000000012</v>
      </c>
      <c r="X87" s="46">
        <f t="shared" si="18"/>
        <v>5.25</v>
      </c>
      <c r="Y87" s="46">
        <f t="shared" si="17"/>
        <v>6.9999999999999929</v>
      </c>
      <c r="Z87" s="46">
        <f t="shared" si="16"/>
        <v>8.3999999999999915</v>
      </c>
      <c r="AA87" s="46">
        <f t="shared" si="15"/>
        <v>16.799999999999986</v>
      </c>
      <c r="AC87" s="44">
        <v>84</v>
      </c>
      <c r="AD87" s="46">
        <v>25</v>
      </c>
      <c r="AE87" s="46">
        <v>25</v>
      </c>
      <c r="AF87" s="46"/>
      <c r="AG87" s="46"/>
      <c r="AH87" s="46"/>
      <c r="AO87">
        <v>84</v>
      </c>
      <c r="AP87" s="1" t="s">
        <v>514</v>
      </c>
      <c r="AQ87" s="30">
        <v>30</v>
      </c>
    </row>
    <row r="88" spans="1:43" ht="15.95" customHeight="1" x14ac:dyDescent="0.25">
      <c r="A88" s="29" t="s">
        <v>125</v>
      </c>
      <c r="B88" s="31">
        <v>0.24097222222222223</v>
      </c>
      <c r="C88" s="31">
        <v>0.75902777777777775</v>
      </c>
      <c r="D88" s="31">
        <v>0.17361111111111113</v>
      </c>
      <c r="E88" s="31">
        <v>0.82708333333333339</v>
      </c>
      <c r="F88" s="31">
        <v>0.19791666666666666</v>
      </c>
      <c r="G88" s="31">
        <v>0.8027777777777777</v>
      </c>
      <c r="H88" s="31">
        <v>0.22152777777777777</v>
      </c>
      <c r="I88" s="31">
        <v>0.77916666666666667</v>
      </c>
      <c r="J88" s="31">
        <v>0.5</v>
      </c>
      <c r="K88" s="30">
        <f>((K95-K64)/31)+K87</f>
        <v>55.290322580645238</v>
      </c>
      <c r="L88" s="30">
        <f>((L95-L64)/31)+L87</f>
        <v>45.741935483870918</v>
      </c>
      <c r="M88" s="90">
        <v>44.367741935483842</v>
      </c>
      <c r="N88" s="89">
        <f t="shared" si="13"/>
        <v>21.838709677419338</v>
      </c>
      <c r="O88" s="106">
        <f t="shared" si="14"/>
        <v>43.45161290322585</v>
      </c>
      <c r="P88" s="108">
        <v>28.574193548387058</v>
      </c>
      <c r="Q88" s="108">
        <v>11.774193548387117</v>
      </c>
      <c r="R88" s="107">
        <v>25.32258064516131</v>
      </c>
      <c r="S88" s="41" t="s">
        <v>431</v>
      </c>
      <c r="T88" s="41" t="s">
        <v>435</v>
      </c>
      <c r="U88" s="33"/>
      <c r="V88" s="44">
        <v>85</v>
      </c>
      <c r="W88" s="46">
        <f t="shared" si="10"/>
        <v>3.4000000000000012</v>
      </c>
      <c r="X88" s="46">
        <f t="shared" si="18"/>
        <v>5.3125</v>
      </c>
      <c r="Y88" s="46">
        <f t="shared" si="17"/>
        <v>7.0833333333333259</v>
      </c>
      <c r="Z88" s="46">
        <f t="shared" si="16"/>
        <v>8.4999999999999911</v>
      </c>
      <c r="AA88" s="46">
        <f t="shared" si="15"/>
        <v>16.999999999999986</v>
      </c>
      <c r="AC88" s="44">
        <v>85</v>
      </c>
      <c r="AD88" s="46">
        <v>25</v>
      </c>
      <c r="AE88" s="46">
        <v>25</v>
      </c>
      <c r="AF88" s="46">
        <v>25</v>
      </c>
      <c r="AG88" s="46"/>
      <c r="AH88" s="46"/>
      <c r="AO88">
        <v>85</v>
      </c>
      <c r="AP88" s="1" t="s">
        <v>515</v>
      </c>
      <c r="AQ88" s="30">
        <v>40</v>
      </c>
    </row>
    <row r="89" spans="1:43" ht="15.95" customHeight="1" x14ac:dyDescent="0.25">
      <c r="A89" s="29" t="s">
        <v>126</v>
      </c>
      <c r="B89" s="31">
        <v>0.23958333333333334</v>
      </c>
      <c r="C89" s="31">
        <v>0.7597222222222223</v>
      </c>
      <c r="D89" s="31">
        <v>0.17222222222222225</v>
      </c>
      <c r="E89" s="31">
        <v>0.82777777777777783</v>
      </c>
      <c r="F89" s="31">
        <v>0.19652777777777777</v>
      </c>
      <c r="G89" s="31">
        <v>0.80347222222222225</v>
      </c>
      <c r="H89" s="31">
        <v>0.22013888888888888</v>
      </c>
      <c r="I89" s="31">
        <v>0.77986111111111101</v>
      </c>
      <c r="J89" s="31">
        <v>0.4993055555555555</v>
      </c>
      <c r="K89" s="30">
        <f>((K95-K64)/31)+K88</f>
        <v>55.67741935483879</v>
      </c>
      <c r="L89" s="30">
        <f>((L95-L64)/31)+L88</f>
        <v>46.064516129032206</v>
      </c>
      <c r="M89" s="90">
        <v>44.658064516129002</v>
      </c>
      <c r="N89" s="89">
        <f t="shared" si="13"/>
        <v>22.390322580645144</v>
      </c>
      <c r="O89" s="106">
        <f t="shared" si="14"/>
        <v>43.387096774193594</v>
      </c>
      <c r="P89" s="108">
        <v>28.806451612903185</v>
      </c>
      <c r="Q89" s="108">
        <v>11.806451612903247</v>
      </c>
      <c r="R89" s="107">
        <v>25.419354838709697</v>
      </c>
      <c r="S89" s="41" t="s">
        <v>431</v>
      </c>
      <c r="T89" s="41" t="s">
        <v>435</v>
      </c>
      <c r="U89" s="33"/>
      <c r="V89" s="44">
        <v>86</v>
      </c>
      <c r="W89" s="46">
        <f t="shared" si="10"/>
        <v>3.4400000000000013</v>
      </c>
      <c r="X89" s="46">
        <f t="shared" si="18"/>
        <v>5.375</v>
      </c>
      <c r="Y89" s="46">
        <f t="shared" si="17"/>
        <v>7.166666666666659</v>
      </c>
      <c r="Z89" s="46">
        <f t="shared" si="16"/>
        <v>8.5999999999999908</v>
      </c>
      <c r="AA89" s="46">
        <f t="shared" si="15"/>
        <v>17.199999999999985</v>
      </c>
      <c r="AC89" s="44">
        <v>86</v>
      </c>
      <c r="AD89" s="46">
        <v>25</v>
      </c>
      <c r="AE89" s="46">
        <v>25</v>
      </c>
      <c r="AF89" s="46">
        <v>25</v>
      </c>
      <c r="AG89" s="46"/>
      <c r="AH89" s="46"/>
      <c r="AO89">
        <v>86</v>
      </c>
      <c r="AP89" s="1" t="s">
        <v>515</v>
      </c>
      <c r="AQ89" s="30">
        <v>40</v>
      </c>
    </row>
    <row r="90" spans="1:43" ht="15.95" customHeight="1" x14ac:dyDescent="0.25">
      <c r="A90" s="29" t="s">
        <v>127</v>
      </c>
      <c r="B90" s="31">
        <v>0.2388888888888889</v>
      </c>
      <c r="C90" s="31">
        <v>0.76041666666666663</v>
      </c>
      <c r="D90" s="31">
        <v>0.17083333333333331</v>
      </c>
      <c r="E90" s="31">
        <v>0.82916666666666661</v>
      </c>
      <c r="F90" s="31">
        <v>0.19513888888888889</v>
      </c>
      <c r="G90" s="31">
        <v>0.80486111111111114</v>
      </c>
      <c r="H90" s="31">
        <v>0.21875</v>
      </c>
      <c r="I90" s="31">
        <v>0.78055555555555556</v>
      </c>
      <c r="J90" s="31">
        <v>0.4993055555555555</v>
      </c>
      <c r="K90" s="30">
        <f>((K95-K64)/31)+K89</f>
        <v>56.064516129032341</v>
      </c>
      <c r="L90" s="30">
        <f>((L95-L64)/31)+L89</f>
        <v>46.387096774193495</v>
      </c>
      <c r="M90" s="90">
        <v>44.948387096774162</v>
      </c>
      <c r="N90" s="89">
        <f t="shared" si="13"/>
        <v>22.941935483870949</v>
      </c>
      <c r="O90" s="106">
        <f t="shared" si="14"/>
        <v>43.322580645161338</v>
      </c>
      <c r="P90" s="108">
        <v>29.038709677419313</v>
      </c>
      <c r="Q90" s="108">
        <v>11.838709677419377</v>
      </c>
      <c r="R90" s="107">
        <v>25.516129032258085</v>
      </c>
      <c r="S90" s="41" t="s">
        <v>431</v>
      </c>
      <c r="T90" s="41" t="s">
        <v>435</v>
      </c>
      <c r="U90" s="33"/>
      <c r="V90" s="44">
        <v>87</v>
      </c>
      <c r="W90" s="46">
        <f t="shared" si="10"/>
        <v>3.4800000000000013</v>
      </c>
      <c r="X90" s="46">
        <f t="shared" si="18"/>
        <v>5.4375</v>
      </c>
      <c r="Y90" s="46">
        <f t="shared" si="17"/>
        <v>7.249999999999992</v>
      </c>
      <c r="Z90" s="46">
        <f t="shared" si="16"/>
        <v>8.6999999999999904</v>
      </c>
      <c r="AA90" s="46">
        <f t="shared" si="15"/>
        <v>17.399999999999984</v>
      </c>
      <c r="AC90" s="44">
        <v>87</v>
      </c>
      <c r="AD90" s="46">
        <v>25</v>
      </c>
      <c r="AE90" s="46">
        <v>25</v>
      </c>
      <c r="AF90" s="46">
        <v>25</v>
      </c>
      <c r="AG90" s="46"/>
      <c r="AH90" s="46"/>
      <c r="AO90">
        <v>87</v>
      </c>
      <c r="AP90" s="1" t="s">
        <v>515</v>
      </c>
      <c r="AQ90" s="30">
        <v>40</v>
      </c>
    </row>
    <row r="91" spans="1:43" ht="15.95" customHeight="1" x14ac:dyDescent="0.25">
      <c r="A91" s="29" t="s">
        <v>128</v>
      </c>
      <c r="B91" s="31">
        <v>0.23750000000000002</v>
      </c>
      <c r="C91" s="31">
        <v>0.76180555555555562</v>
      </c>
      <c r="D91" s="31">
        <v>0.16944444444444443</v>
      </c>
      <c r="E91" s="31">
        <v>0.82986111111111116</v>
      </c>
      <c r="F91" s="31">
        <v>0.19375000000000001</v>
      </c>
      <c r="G91" s="31">
        <v>0.80555555555555547</v>
      </c>
      <c r="H91" s="31">
        <v>0.21736111111111112</v>
      </c>
      <c r="I91" s="31">
        <v>0.78194444444444444</v>
      </c>
      <c r="J91" s="31">
        <v>0.4993055555555555</v>
      </c>
      <c r="K91" s="30">
        <f>((K95-K64)/31)+K90</f>
        <v>56.451612903225893</v>
      </c>
      <c r="L91" s="30">
        <f>((L95-L64)/31)+L90</f>
        <v>46.709677419354783</v>
      </c>
      <c r="M91" s="90">
        <v>45.238709677419322</v>
      </c>
      <c r="N91" s="89">
        <f t="shared" si="13"/>
        <v>23.493548387096755</v>
      </c>
      <c r="O91" s="106">
        <f t="shared" si="14"/>
        <v>43.258064516129082</v>
      </c>
      <c r="P91" s="108">
        <v>29.27096774193544</v>
      </c>
      <c r="Q91" s="108">
        <v>11.870967741935507</v>
      </c>
      <c r="R91" s="107">
        <v>25.612903225806473</v>
      </c>
      <c r="S91" s="41" t="s">
        <v>431</v>
      </c>
      <c r="T91" s="41" t="s">
        <v>435</v>
      </c>
      <c r="U91" s="33"/>
      <c r="V91" s="44">
        <v>88</v>
      </c>
      <c r="W91" s="46">
        <f t="shared" si="10"/>
        <v>3.5200000000000014</v>
      </c>
      <c r="X91" s="46">
        <f t="shared" si="18"/>
        <v>5.5</v>
      </c>
      <c r="Y91" s="46">
        <f t="shared" si="17"/>
        <v>7.333333333333325</v>
      </c>
      <c r="Z91" s="46">
        <f t="shared" si="16"/>
        <v>8.7999999999999901</v>
      </c>
      <c r="AA91" s="46">
        <f t="shared" si="15"/>
        <v>17.599999999999984</v>
      </c>
      <c r="AC91" s="44">
        <v>88</v>
      </c>
      <c r="AD91" s="46">
        <v>25</v>
      </c>
      <c r="AE91" s="46">
        <v>25</v>
      </c>
      <c r="AF91" s="46">
        <v>25</v>
      </c>
      <c r="AG91" s="46"/>
      <c r="AH91" s="46"/>
      <c r="AO91">
        <v>88</v>
      </c>
      <c r="AP91" s="1" t="s">
        <v>515</v>
      </c>
      <c r="AQ91" s="30">
        <v>40</v>
      </c>
    </row>
    <row r="92" spans="1:43" ht="15.95" customHeight="1" x14ac:dyDescent="0.25">
      <c r="A92" s="29" t="s">
        <v>129</v>
      </c>
      <c r="B92" s="31">
        <v>0.23611111111111113</v>
      </c>
      <c r="C92" s="31">
        <v>0.76250000000000007</v>
      </c>
      <c r="D92" s="31">
        <v>0.16805555555555554</v>
      </c>
      <c r="E92" s="31">
        <v>0.83124999999999993</v>
      </c>
      <c r="F92" s="31">
        <v>0.19236111111111112</v>
      </c>
      <c r="G92" s="31">
        <v>0.80625000000000002</v>
      </c>
      <c r="H92" s="31">
        <v>0.21597222222222223</v>
      </c>
      <c r="I92" s="31">
        <v>0.78263888888888899</v>
      </c>
      <c r="J92" s="31">
        <v>0.4993055555555555</v>
      </c>
      <c r="K92" s="30">
        <f>((K95-K64)/31)+K91</f>
        <v>56.838709677419445</v>
      </c>
      <c r="L92" s="30">
        <f>((L95-L64)/31)+L91</f>
        <v>47.032258064516071</v>
      </c>
      <c r="M92" s="90">
        <v>45.529032258064483</v>
      </c>
      <c r="N92" s="89">
        <f t="shared" si="13"/>
        <v>24.045161290322561</v>
      </c>
      <c r="O92" s="106">
        <f t="shared" si="14"/>
        <v>43.193548387096826</v>
      </c>
      <c r="P92" s="108">
        <v>29.503225806451567</v>
      </c>
      <c r="Q92" s="108">
        <v>11.903225806451637</v>
      </c>
      <c r="R92" s="107">
        <v>25.709677419354861</v>
      </c>
      <c r="S92" s="41" t="s">
        <v>431</v>
      </c>
      <c r="T92" s="41" t="s">
        <v>435</v>
      </c>
      <c r="U92" s="33"/>
      <c r="V92" s="44">
        <v>89</v>
      </c>
      <c r="W92" s="46">
        <f t="shared" si="10"/>
        <v>3.5600000000000014</v>
      </c>
      <c r="X92" s="46">
        <f t="shared" si="18"/>
        <v>5.5625</v>
      </c>
      <c r="Y92" s="46">
        <f t="shared" si="17"/>
        <v>7.4166666666666581</v>
      </c>
      <c r="Z92" s="46">
        <f t="shared" si="16"/>
        <v>8.8999999999999897</v>
      </c>
      <c r="AA92" s="46">
        <f t="shared" si="15"/>
        <v>17.799999999999983</v>
      </c>
      <c r="AC92" s="44">
        <v>89</v>
      </c>
      <c r="AD92" s="46">
        <v>25</v>
      </c>
      <c r="AE92" s="46">
        <v>25</v>
      </c>
      <c r="AF92" s="46">
        <v>25</v>
      </c>
      <c r="AG92" s="46"/>
      <c r="AH92" s="46"/>
      <c r="AO92">
        <v>89</v>
      </c>
      <c r="AP92" s="1" t="s">
        <v>515</v>
      </c>
      <c r="AQ92" s="30">
        <v>40</v>
      </c>
    </row>
    <row r="93" spans="1:43" ht="15.95" customHeight="1" x14ac:dyDescent="0.25">
      <c r="A93" s="29" t="s">
        <v>130</v>
      </c>
      <c r="B93" s="31">
        <v>0.23472222222222219</v>
      </c>
      <c r="C93" s="31">
        <v>0.7631944444444444</v>
      </c>
      <c r="D93" s="31">
        <v>0.16597222222222222</v>
      </c>
      <c r="E93" s="31">
        <v>0.83194444444444438</v>
      </c>
      <c r="F93" s="31">
        <v>0.19097222222222221</v>
      </c>
      <c r="G93" s="31">
        <v>0.80763888888888891</v>
      </c>
      <c r="H93" s="31">
        <v>0.21458333333333335</v>
      </c>
      <c r="I93" s="31">
        <v>0.78333333333333333</v>
      </c>
      <c r="J93" s="31">
        <v>0.49861111111111112</v>
      </c>
      <c r="K93" s="30">
        <f>((K95-K64)/31)+K92</f>
        <v>57.225806451612996</v>
      </c>
      <c r="L93" s="30">
        <f>((L95-L64)/31)+L92</f>
        <v>47.35483870967736</v>
      </c>
      <c r="M93" s="90">
        <v>45.819354838709643</v>
      </c>
      <c r="N93" s="89">
        <f t="shared" si="13"/>
        <v>24.596774193548367</v>
      </c>
      <c r="O93" s="106">
        <f t="shared" si="14"/>
        <v>43.129032258064569</v>
      </c>
      <c r="P93" s="108">
        <v>29.735483870967695</v>
      </c>
      <c r="Q93" s="108">
        <v>11.935483870967767</v>
      </c>
      <c r="R93" s="107">
        <v>25.806451612903249</v>
      </c>
      <c r="S93" s="41" t="s">
        <v>431</v>
      </c>
      <c r="T93" s="41" t="s">
        <v>435</v>
      </c>
      <c r="U93" s="33"/>
      <c r="V93" s="44">
        <v>90</v>
      </c>
      <c r="W93" s="46">
        <f t="shared" si="10"/>
        <v>3.6000000000000014</v>
      </c>
      <c r="X93" s="46">
        <f t="shared" si="18"/>
        <v>5.625</v>
      </c>
      <c r="Y93" s="46">
        <f t="shared" si="17"/>
        <v>7.4999999999999911</v>
      </c>
      <c r="Z93" s="46">
        <f t="shared" si="16"/>
        <v>8.9999999999999893</v>
      </c>
      <c r="AA93" s="46">
        <f t="shared" si="15"/>
        <v>17.999999999999982</v>
      </c>
      <c r="AC93" s="44">
        <v>90</v>
      </c>
      <c r="AD93" s="46">
        <v>25</v>
      </c>
      <c r="AE93" s="46">
        <v>25</v>
      </c>
      <c r="AF93" s="46">
        <v>25</v>
      </c>
      <c r="AG93" s="46"/>
      <c r="AH93" s="46"/>
      <c r="AO93">
        <v>90</v>
      </c>
      <c r="AP93" s="1" t="s">
        <v>516</v>
      </c>
      <c r="AQ93" s="30">
        <v>55</v>
      </c>
    </row>
    <row r="94" spans="1:43" ht="15.95" customHeight="1" x14ac:dyDescent="0.25">
      <c r="A94" s="29" t="s">
        <v>131</v>
      </c>
      <c r="B94" s="31">
        <v>0.23333333333333331</v>
      </c>
      <c r="C94" s="31">
        <v>0.76388888888888884</v>
      </c>
      <c r="D94" s="31">
        <v>0.16458333333333333</v>
      </c>
      <c r="E94" s="31">
        <v>0.83333333333333337</v>
      </c>
      <c r="F94" s="31">
        <v>0.18958333333333333</v>
      </c>
      <c r="G94" s="31">
        <v>0.80833333333333324</v>
      </c>
      <c r="H94" s="31">
        <v>0.21319444444444444</v>
      </c>
      <c r="I94" s="31">
        <v>0.78402777777777777</v>
      </c>
      <c r="J94" s="31">
        <v>0.49861111111111112</v>
      </c>
      <c r="K94" s="30">
        <f>((K95-K64)/31)+K93</f>
        <v>57.612903225806548</v>
      </c>
      <c r="L94" s="30">
        <f>((L95-L64)/31)+L93</f>
        <v>47.677419354838648</v>
      </c>
      <c r="M94" s="90">
        <v>46.109677419354803</v>
      </c>
      <c r="N94" s="89">
        <f t="shared" si="13"/>
        <v>25.148387096774172</v>
      </c>
      <c r="O94" s="106">
        <f t="shared" si="14"/>
        <v>43.064516129032313</v>
      </c>
      <c r="P94" s="108">
        <v>29.967741935483822</v>
      </c>
      <c r="Q94" s="108">
        <v>11.967741935483897</v>
      </c>
      <c r="R94" s="107">
        <v>25.903225806451637</v>
      </c>
      <c r="S94" s="41" t="s">
        <v>431</v>
      </c>
      <c r="T94" s="41" t="s">
        <v>435</v>
      </c>
      <c r="U94" s="33"/>
      <c r="V94" s="44">
        <v>91</v>
      </c>
      <c r="W94" s="46">
        <f t="shared" ref="W94:W103" si="19">W93+(1/25)</f>
        <v>3.6400000000000015</v>
      </c>
      <c r="X94" s="46">
        <f t="shared" si="18"/>
        <v>5.6875</v>
      </c>
      <c r="Y94" s="46">
        <f t="shared" si="17"/>
        <v>7.5833333333333242</v>
      </c>
      <c r="Z94" s="46">
        <f t="shared" si="16"/>
        <v>9.099999999999989</v>
      </c>
      <c r="AA94" s="46">
        <f t="shared" si="15"/>
        <v>18.199999999999982</v>
      </c>
      <c r="AC94" s="44">
        <v>91</v>
      </c>
      <c r="AD94" s="46">
        <v>25</v>
      </c>
      <c r="AE94" s="46">
        <v>25</v>
      </c>
      <c r="AF94" s="46">
        <v>25</v>
      </c>
      <c r="AG94" s="46">
        <v>25</v>
      </c>
      <c r="AH94" s="46"/>
      <c r="AO94">
        <v>91</v>
      </c>
      <c r="AP94" s="1" t="s">
        <v>516</v>
      </c>
      <c r="AQ94" s="30">
        <v>55</v>
      </c>
    </row>
    <row r="95" spans="1:43" ht="15.95" customHeight="1" x14ac:dyDescent="0.25">
      <c r="A95" s="29" t="s">
        <v>132</v>
      </c>
      <c r="B95" s="31">
        <v>0.23263888888888887</v>
      </c>
      <c r="C95" s="31">
        <v>0.76458333333333339</v>
      </c>
      <c r="D95" s="31">
        <v>0.16319444444444445</v>
      </c>
      <c r="E95" s="31">
        <v>0.8340277777777777</v>
      </c>
      <c r="F95" s="31">
        <v>0.18819444444444444</v>
      </c>
      <c r="G95" s="31">
        <v>0.80902777777777779</v>
      </c>
      <c r="H95" s="31">
        <v>0.21249999999999999</v>
      </c>
      <c r="I95" s="31">
        <v>0.78541666666666676</v>
      </c>
      <c r="J95" s="31">
        <v>0.49861111111111112</v>
      </c>
      <c r="K95" s="30">
        <v>58</v>
      </c>
      <c r="L95" s="30">
        <v>48</v>
      </c>
      <c r="M95" s="90">
        <v>46.4</v>
      </c>
      <c r="N95" s="89">
        <v>25.7</v>
      </c>
      <c r="O95" s="106">
        <v>43</v>
      </c>
      <c r="P95" s="108">
        <v>30.2</v>
      </c>
      <c r="Q95" s="108">
        <v>12</v>
      </c>
      <c r="R95" s="107">
        <v>26</v>
      </c>
      <c r="S95" s="41" t="s">
        <v>435</v>
      </c>
      <c r="T95" s="41" t="s">
        <v>431</v>
      </c>
      <c r="U95" s="33"/>
      <c r="V95" s="44">
        <v>92</v>
      </c>
      <c r="W95" s="46">
        <f t="shared" si="19"/>
        <v>3.6800000000000015</v>
      </c>
      <c r="X95" s="46">
        <f t="shared" si="18"/>
        <v>5.75</v>
      </c>
      <c r="Y95" s="46">
        <f t="shared" si="17"/>
        <v>7.6666666666666572</v>
      </c>
      <c r="Z95" s="46">
        <f t="shared" si="16"/>
        <v>9.1999999999999886</v>
      </c>
      <c r="AA95" s="46">
        <f t="shared" si="15"/>
        <v>18.399999999999981</v>
      </c>
      <c r="AC95" s="44">
        <v>92</v>
      </c>
      <c r="AD95" s="46">
        <v>25</v>
      </c>
      <c r="AE95" s="46">
        <v>25</v>
      </c>
      <c r="AF95" s="46">
        <v>25</v>
      </c>
      <c r="AG95" s="46">
        <v>25</v>
      </c>
      <c r="AH95" s="46"/>
      <c r="AO95">
        <v>92</v>
      </c>
      <c r="AP95" s="1" t="s">
        <v>516</v>
      </c>
      <c r="AQ95" s="30">
        <v>55</v>
      </c>
    </row>
    <row r="96" spans="1:43" ht="15.95" customHeight="1" x14ac:dyDescent="0.25">
      <c r="A96" s="29" t="s">
        <v>133</v>
      </c>
      <c r="B96" s="31">
        <v>0.23124999999999998</v>
      </c>
      <c r="C96" s="31">
        <v>0.76597222222222217</v>
      </c>
      <c r="D96" s="31">
        <v>0.16180555555555556</v>
      </c>
      <c r="E96" s="31">
        <v>0.8354166666666667</v>
      </c>
      <c r="F96" s="31">
        <v>0.18680555555555556</v>
      </c>
      <c r="G96" s="31">
        <v>0.81041666666666667</v>
      </c>
      <c r="H96" s="31">
        <v>0.21111111111111111</v>
      </c>
      <c r="I96" s="31">
        <v>0.78611111111111109</v>
      </c>
      <c r="J96" s="31">
        <v>0.49791666666666662</v>
      </c>
      <c r="K96" s="30">
        <f>((K125-K95)/30)+K95</f>
        <v>58.366666666666667</v>
      </c>
      <c r="L96" s="30">
        <f>((L125-L95)/30)+L95</f>
        <v>48.3</v>
      </c>
      <c r="M96" s="90">
        <v>46.699999999999996</v>
      </c>
      <c r="N96" s="89">
        <f>((($N$125-$N$95)/30)+N95)</f>
        <v>26.216666666666665</v>
      </c>
      <c r="O96" s="106">
        <f>(($O$125-$O$95)/30)+O95</f>
        <v>42.966666666666669</v>
      </c>
      <c r="P96" s="108">
        <v>30.56</v>
      </c>
      <c r="Q96" s="108">
        <v>11.966666666666667</v>
      </c>
      <c r="R96" s="107">
        <v>26.066666666666666</v>
      </c>
      <c r="S96" s="41" t="s">
        <v>435</v>
      </c>
      <c r="T96" s="41" t="s">
        <v>431</v>
      </c>
      <c r="U96" s="33"/>
      <c r="V96" s="44">
        <v>93</v>
      </c>
      <c r="W96" s="46">
        <f t="shared" si="19"/>
        <v>3.7200000000000015</v>
      </c>
      <c r="X96" s="46">
        <f t="shared" si="18"/>
        <v>5.8125</v>
      </c>
      <c r="Y96" s="46">
        <f t="shared" si="17"/>
        <v>7.7499999999999902</v>
      </c>
      <c r="Z96" s="46">
        <f t="shared" si="16"/>
        <v>9.2999999999999883</v>
      </c>
      <c r="AA96" s="46">
        <f t="shared" si="15"/>
        <v>18.59999999999998</v>
      </c>
      <c r="AC96" s="44">
        <v>93</v>
      </c>
      <c r="AD96" s="46">
        <v>25</v>
      </c>
      <c r="AE96" s="46">
        <v>25</v>
      </c>
      <c r="AF96" s="46">
        <v>25</v>
      </c>
      <c r="AG96" s="46">
        <v>25</v>
      </c>
      <c r="AH96" s="46"/>
      <c r="AO96">
        <v>93</v>
      </c>
      <c r="AP96" s="1" t="s">
        <v>516</v>
      </c>
      <c r="AQ96" s="30">
        <v>55</v>
      </c>
    </row>
    <row r="97" spans="1:43" ht="15.95" customHeight="1" x14ac:dyDescent="0.25">
      <c r="A97" s="29" t="s">
        <v>134</v>
      </c>
      <c r="B97" s="31">
        <v>0.2298611111111111</v>
      </c>
      <c r="C97" s="31">
        <v>0.76666666666666661</v>
      </c>
      <c r="D97" s="31">
        <v>0.16041666666666668</v>
      </c>
      <c r="E97" s="31">
        <v>0.83611111111111114</v>
      </c>
      <c r="F97" s="31">
        <v>0.18541666666666667</v>
      </c>
      <c r="G97" s="31">
        <v>0.81111111111111101</v>
      </c>
      <c r="H97" s="31">
        <v>0.20972222222222223</v>
      </c>
      <c r="I97" s="31">
        <v>0.78680555555555554</v>
      </c>
      <c r="J97" s="31">
        <v>0.49791666666666662</v>
      </c>
      <c r="K97" s="30">
        <f>((K125-K95)/30)+K96</f>
        <v>58.733333333333334</v>
      </c>
      <c r="L97" s="30">
        <f>((L125-L95)/30)+L96</f>
        <v>48.599999999999994</v>
      </c>
      <c r="M97" s="90">
        <v>46.999999999999993</v>
      </c>
      <c r="N97" s="89">
        <f t="shared" ref="N97:N124" si="20">((($N$125-$N$95)/30)+N96)</f>
        <v>26.733333333333331</v>
      </c>
      <c r="O97" s="106">
        <f t="shared" ref="O97:O124" si="21">(($O$125-$O$95)/30)+O96</f>
        <v>42.933333333333337</v>
      </c>
      <c r="P97" s="108">
        <v>30.919999999999998</v>
      </c>
      <c r="Q97" s="108">
        <v>11.933333333333334</v>
      </c>
      <c r="R97" s="107">
        <v>26.133333333333333</v>
      </c>
      <c r="S97" s="41" t="s">
        <v>435</v>
      </c>
      <c r="T97" s="41" t="s">
        <v>431</v>
      </c>
      <c r="U97" s="33"/>
      <c r="V97" s="44">
        <v>94</v>
      </c>
      <c r="W97" s="46">
        <f t="shared" si="19"/>
        <v>3.7600000000000016</v>
      </c>
      <c r="X97" s="46">
        <f t="shared" si="18"/>
        <v>5.875</v>
      </c>
      <c r="Y97" s="46">
        <f t="shared" si="17"/>
        <v>7.8333333333333233</v>
      </c>
      <c r="Z97" s="46">
        <f t="shared" si="16"/>
        <v>9.3999999999999879</v>
      </c>
      <c r="AA97" s="46">
        <f t="shared" si="15"/>
        <v>18.799999999999979</v>
      </c>
      <c r="AC97" s="44">
        <v>94</v>
      </c>
      <c r="AD97" s="46">
        <v>25</v>
      </c>
      <c r="AE97" s="46">
        <v>25</v>
      </c>
      <c r="AF97" s="46">
        <v>25</v>
      </c>
      <c r="AG97" s="46">
        <v>25</v>
      </c>
      <c r="AH97" s="46"/>
      <c r="AO97">
        <v>94</v>
      </c>
      <c r="AP97" s="1" t="s">
        <v>516</v>
      </c>
      <c r="AQ97" s="30">
        <v>55</v>
      </c>
    </row>
    <row r="98" spans="1:43" ht="15.95" customHeight="1" x14ac:dyDescent="0.25">
      <c r="A98" s="29" t="s">
        <v>135</v>
      </c>
      <c r="B98" s="31">
        <v>0.22847222222222222</v>
      </c>
      <c r="C98" s="31">
        <v>0.76736111111111116</v>
      </c>
      <c r="D98" s="31">
        <v>0.15902777777777777</v>
      </c>
      <c r="E98" s="31">
        <v>0.83750000000000002</v>
      </c>
      <c r="F98" s="31">
        <v>0.18402777777777779</v>
      </c>
      <c r="G98" s="31">
        <v>0.81180555555555556</v>
      </c>
      <c r="H98" s="31">
        <v>0.20833333333333334</v>
      </c>
      <c r="I98" s="31">
        <v>0.78749999999999998</v>
      </c>
      <c r="J98" s="31">
        <v>0.49791666666666662</v>
      </c>
      <c r="K98" s="30">
        <f>((K125-K95)/30)+K97</f>
        <v>59.1</v>
      </c>
      <c r="L98" s="30">
        <f>((L125-L95)/30)+L97</f>
        <v>48.899999999999991</v>
      </c>
      <c r="M98" s="90">
        <v>47.29999999999999</v>
      </c>
      <c r="N98" s="89">
        <f t="shared" si="20"/>
        <v>27.249999999999996</v>
      </c>
      <c r="O98" s="106">
        <f t="shared" si="21"/>
        <v>42.900000000000006</v>
      </c>
      <c r="P98" s="108">
        <v>31.279999999999998</v>
      </c>
      <c r="Q98" s="108">
        <v>11.9</v>
      </c>
      <c r="R98" s="107">
        <v>26.2</v>
      </c>
      <c r="S98" s="41" t="s">
        <v>435</v>
      </c>
      <c r="T98" s="41" t="s">
        <v>431</v>
      </c>
      <c r="U98" s="33"/>
      <c r="V98" s="44">
        <v>95</v>
      </c>
      <c r="W98" s="46">
        <f t="shared" si="19"/>
        <v>3.8000000000000016</v>
      </c>
      <c r="X98" s="46">
        <f t="shared" si="18"/>
        <v>5.9375</v>
      </c>
      <c r="Y98" s="46">
        <f t="shared" si="17"/>
        <v>7.9166666666666563</v>
      </c>
      <c r="Z98" s="46">
        <f t="shared" si="16"/>
        <v>9.4999999999999876</v>
      </c>
      <c r="AA98" s="46">
        <f t="shared" si="15"/>
        <v>18.999999999999979</v>
      </c>
      <c r="AC98" s="44">
        <v>95</v>
      </c>
      <c r="AD98" s="46">
        <v>25</v>
      </c>
      <c r="AE98" s="46">
        <v>25</v>
      </c>
      <c r="AF98" s="46">
        <v>25</v>
      </c>
      <c r="AG98" s="46">
        <v>25</v>
      </c>
      <c r="AH98" s="46"/>
      <c r="AO98">
        <v>95</v>
      </c>
      <c r="AP98" s="1" t="s">
        <v>517</v>
      </c>
      <c r="AQ98" s="30">
        <v>40</v>
      </c>
    </row>
    <row r="99" spans="1:43" ht="15.95" customHeight="1" x14ac:dyDescent="0.25">
      <c r="A99" s="29" t="s">
        <v>136</v>
      </c>
      <c r="B99" s="31">
        <v>0.22777777777777777</v>
      </c>
      <c r="C99" s="31">
        <v>0.7680555555555556</v>
      </c>
      <c r="D99" s="31">
        <v>0.15763888888888888</v>
      </c>
      <c r="E99" s="31">
        <v>0.83819444444444446</v>
      </c>
      <c r="F99" s="31">
        <v>0.18263888888888891</v>
      </c>
      <c r="G99" s="31">
        <v>0.81319444444444444</v>
      </c>
      <c r="H99" s="31">
        <v>0.20694444444444446</v>
      </c>
      <c r="I99" s="31">
        <v>0.78888888888888886</v>
      </c>
      <c r="J99" s="31">
        <v>0.49722222222222223</v>
      </c>
      <c r="K99" s="30">
        <f>((K125-K95)/30)+K98</f>
        <v>59.466666666666669</v>
      </c>
      <c r="L99" s="30">
        <f>((L125-L95)/30)+L98</f>
        <v>49.199999999999989</v>
      </c>
      <c r="M99" s="90">
        <v>47.599999999999987</v>
      </c>
      <c r="N99" s="89">
        <f t="shared" si="20"/>
        <v>27.766666666666662</v>
      </c>
      <c r="O99" s="106">
        <f t="shared" si="21"/>
        <v>42.866666666666674</v>
      </c>
      <c r="P99" s="108">
        <v>31.639999999999997</v>
      </c>
      <c r="Q99" s="108">
        <v>11.866666666666667</v>
      </c>
      <c r="R99" s="107">
        <v>26.266666666666666</v>
      </c>
      <c r="S99" s="41" t="s">
        <v>435</v>
      </c>
      <c r="T99" s="41" t="s">
        <v>431</v>
      </c>
      <c r="U99" s="33"/>
      <c r="V99" s="44">
        <v>96</v>
      </c>
      <c r="W99" s="46">
        <f t="shared" si="19"/>
        <v>3.8400000000000016</v>
      </c>
      <c r="X99" s="46">
        <f t="shared" si="18"/>
        <v>6</v>
      </c>
      <c r="Y99" s="46">
        <f t="shared" si="17"/>
        <v>7.9999999999999893</v>
      </c>
      <c r="Z99" s="46">
        <f t="shared" si="16"/>
        <v>9.5999999999999872</v>
      </c>
      <c r="AA99" s="46">
        <f t="shared" si="15"/>
        <v>19.199999999999978</v>
      </c>
      <c r="AC99" s="44">
        <v>96</v>
      </c>
      <c r="AD99" s="46">
        <v>25</v>
      </c>
      <c r="AE99" s="46">
        <v>25</v>
      </c>
      <c r="AF99" s="46">
        <v>25</v>
      </c>
      <c r="AG99" s="46">
        <v>25</v>
      </c>
      <c r="AH99" s="46">
        <v>25</v>
      </c>
      <c r="AO99">
        <v>96</v>
      </c>
      <c r="AP99" s="1" t="s">
        <v>517</v>
      </c>
      <c r="AQ99" s="30">
        <v>40</v>
      </c>
    </row>
    <row r="100" spans="1:43" ht="15.95" customHeight="1" x14ac:dyDescent="0.25">
      <c r="A100" s="29" t="s">
        <v>137</v>
      </c>
      <c r="B100" s="31">
        <v>0.22638888888888889</v>
      </c>
      <c r="C100" s="31">
        <v>0.76874999999999993</v>
      </c>
      <c r="D100" s="31">
        <v>0.15625</v>
      </c>
      <c r="E100" s="31">
        <v>0.83958333333333324</v>
      </c>
      <c r="F100" s="31">
        <v>0.18124999999999999</v>
      </c>
      <c r="G100" s="31">
        <v>0.81388888888888899</v>
      </c>
      <c r="H100" s="31">
        <v>0.20555555555555557</v>
      </c>
      <c r="I100" s="31">
        <v>0.7895833333333333</v>
      </c>
      <c r="J100" s="31">
        <v>0.49722222222222223</v>
      </c>
      <c r="K100" s="30">
        <f>((K125-K95)/30)+K99</f>
        <v>59.833333333333336</v>
      </c>
      <c r="L100" s="30">
        <f>((L125-L95)/30)+L99</f>
        <v>49.499999999999986</v>
      </c>
      <c r="M100" s="90">
        <v>47.899999999999984</v>
      </c>
      <c r="N100" s="89">
        <f t="shared" si="20"/>
        <v>28.283333333333328</v>
      </c>
      <c r="O100" s="106">
        <f t="shared" si="21"/>
        <v>42.833333333333343</v>
      </c>
      <c r="P100" s="108">
        <v>31.999999999999996</v>
      </c>
      <c r="Q100" s="108">
        <v>11.833333333333334</v>
      </c>
      <c r="R100" s="107">
        <v>26.333333333333332</v>
      </c>
      <c r="S100" s="41" t="s">
        <v>435</v>
      </c>
      <c r="T100" s="41" t="s">
        <v>431</v>
      </c>
      <c r="U100" s="33"/>
      <c r="V100" s="44">
        <v>97</v>
      </c>
      <c r="W100" s="46">
        <f t="shared" si="19"/>
        <v>3.8800000000000017</v>
      </c>
      <c r="X100" s="46">
        <f>X99+(1/11)</f>
        <v>6.0909090909090908</v>
      </c>
      <c r="Y100" s="46">
        <f>Y99+(1/8)</f>
        <v>8.1249999999999893</v>
      </c>
      <c r="Z100" s="46">
        <f t="shared" si="16"/>
        <v>9.6999999999999869</v>
      </c>
      <c r="AA100" s="46">
        <f t="shared" si="15"/>
        <v>19.399999999999977</v>
      </c>
      <c r="AC100" s="44">
        <v>97</v>
      </c>
      <c r="AD100" s="46">
        <v>25</v>
      </c>
      <c r="AE100" s="46">
        <v>25</v>
      </c>
      <c r="AF100" s="46">
        <v>25</v>
      </c>
      <c r="AG100" s="46">
        <v>25</v>
      </c>
      <c r="AH100" s="46">
        <v>25</v>
      </c>
      <c r="AO100">
        <v>97</v>
      </c>
      <c r="AP100" s="1" t="s">
        <v>517</v>
      </c>
      <c r="AQ100" s="30">
        <v>40</v>
      </c>
    </row>
    <row r="101" spans="1:43" ht="15.95" customHeight="1" x14ac:dyDescent="0.25">
      <c r="A101" s="29" t="s">
        <v>138</v>
      </c>
      <c r="B101" s="31">
        <v>0.22500000000000001</v>
      </c>
      <c r="C101" s="31">
        <v>0.77013888888888893</v>
      </c>
      <c r="D101" s="31">
        <v>0.15486111111111112</v>
      </c>
      <c r="E101" s="31">
        <v>0.84027777777777779</v>
      </c>
      <c r="F101" s="31">
        <v>0.18055555555555555</v>
      </c>
      <c r="G101" s="31">
        <v>0.81458333333333333</v>
      </c>
      <c r="H101" s="31">
        <v>0.20486111111111113</v>
      </c>
      <c r="I101" s="31">
        <v>0.79027777777777775</v>
      </c>
      <c r="J101" s="31">
        <v>0.49722222222222223</v>
      </c>
      <c r="K101" s="30">
        <f>((K125-K95)/30)+K100</f>
        <v>60.2</v>
      </c>
      <c r="L101" s="30">
        <f>((L125-L95)/30)+L100</f>
        <v>49.799999999999983</v>
      </c>
      <c r="M101" s="90">
        <v>48.199999999999982</v>
      </c>
      <c r="N101" s="89">
        <f t="shared" si="20"/>
        <v>28.799999999999994</v>
      </c>
      <c r="O101" s="106">
        <f t="shared" si="21"/>
        <v>42.800000000000011</v>
      </c>
      <c r="P101" s="108">
        <v>32.36</v>
      </c>
      <c r="Q101" s="108">
        <v>11.8</v>
      </c>
      <c r="R101" s="107">
        <v>26.4</v>
      </c>
      <c r="S101" s="41" t="s">
        <v>435</v>
      </c>
      <c r="T101" s="41" t="s">
        <v>431</v>
      </c>
      <c r="U101" s="33"/>
      <c r="V101" s="44">
        <v>98</v>
      </c>
      <c r="W101" s="46">
        <f t="shared" si="19"/>
        <v>3.9200000000000017</v>
      </c>
      <c r="X101" s="46">
        <f t="shared" ref="X101:X164" si="22">X100+(1/11)</f>
        <v>6.1818181818181817</v>
      </c>
      <c r="Y101" s="46">
        <f t="shared" ref="Y101:Y164" si="23">Y100+(1/8)</f>
        <v>8.2499999999999893</v>
      </c>
      <c r="Z101" s="46">
        <f t="shared" si="16"/>
        <v>9.7999999999999865</v>
      </c>
      <c r="AA101" s="46">
        <f t="shared" si="15"/>
        <v>19.599999999999977</v>
      </c>
      <c r="AC101" s="44">
        <v>98</v>
      </c>
      <c r="AD101" s="46">
        <v>25</v>
      </c>
      <c r="AE101" s="46">
        <v>25</v>
      </c>
      <c r="AF101" s="46">
        <v>25</v>
      </c>
      <c r="AG101" s="46">
        <v>25</v>
      </c>
      <c r="AH101" s="46">
        <v>25</v>
      </c>
      <c r="AO101">
        <v>98</v>
      </c>
      <c r="AP101" s="1" t="s">
        <v>518</v>
      </c>
      <c r="AQ101" s="30">
        <v>55</v>
      </c>
    </row>
    <row r="102" spans="1:43" ht="15.95" customHeight="1" x14ac:dyDescent="0.25">
      <c r="A102" s="29" t="s">
        <v>139</v>
      </c>
      <c r="B102" s="31">
        <v>0.22361111111111109</v>
      </c>
      <c r="C102" s="31">
        <v>0.77083333333333337</v>
      </c>
      <c r="D102" s="31">
        <v>0.15347222222222223</v>
      </c>
      <c r="E102" s="31">
        <v>0.84166666666666667</v>
      </c>
      <c r="F102" s="31">
        <v>0.17916666666666667</v>
      </c>
      <c r="G102" s="31">
        <v>0.81597222222222221</v>
      </c>
      <c r="H102" s="31">
        <v>0.20347222222222219</v>
      </c>
      <c r="I102" s="31">
        <v>0.7909722222222223</v>
      </c>
      <c r="J102" s="31">
        <v>0.49722222222222223</v>
      </c>
      <c r="K102" s="30">
        <f>((K125-K95)/30)+K101</f>
        <v>60.56666666666667</v>
      </c>
      <c r="L102" s="30">
        <f>((L125-L95)/30)+L101</f>
        <v>50.09999999999998</v>
      </c>
      <c r="M102" s="90">
        <v>48.499999999999979</v>
      </c>
      <c r="N102" s="89">
        <f t="shared" si="20"/>
        <v>29.316666666666659</v>
      </c>
      <c r="O102" s="106">
        <f t="shared" si="21"/>
        <v>42.76666666666668</v>
      </c>
      <c r="P102" s="108">
        <v>32.72</v>
      </c>
      <c r="Q102" s="108">
        <v>11.766666666666667</v>
      </c>
      <c r="R102" s="107">
        <v>26.466666666666665</v>
      </c>
      <c r="S102" s="41" t="s">
        <v>435</v>
      </c>
      <c r="T102" s="41" t="s">
        <v>431</v>
      </c>
      <c r="U102" s="33"/>
      <c r="V102" s="44">
        <v>99</v>
      </c>
      <c r="W102" s="46">
        <f t="shared" si="19"/>
        <v>3.9600000000000017</v>
      </c>
      <c r="X102" s="46">
        <f t="shared" si="22"/>
        <v>6.2727272727272725</v>
      </c>
      <c r="Y102" s="46">
        <f t="shared" si="23"/>
        <v>8.3749999999999893</v>
      </c>
      <c r="Z102" s="46">
        <f t="shared" si="16"/>
        <v>9.8999999999999861</v>
      </c>
      <c r="AA102" s="46">
        <f t="shared" si="15"/>
        <v>19.799999999999976</v>
      </c>
      <c r="AC102" s="44">
        <v>99</v>
      </c>
      <c r="AD102" s="46">
        <v>25</v>
      </c>
      <c r="AE102" s="46">
        <v>25</v>
      </c>
      <c r="AF102" s="46">
        <v>25</v>
      </c>
      <c r="AG102" s="46">
        <v>25</v>
      </c>
      <c r="AH102" s="46">
        <v>25</v>
      </c>
      <c r="AO102">
        <v>99</v>
      </c>
      <c r="AP102" s="1" t="s">
        <v>518</v>
      </c>
      <c r="AQ102" s="30">
        <v>55</v>
      </c>
    </row>
    <row r="103" spans="1:43" ht="15.95" customHeight="1" x14ac:dyDescent="0.25">
      <c r="A103" s="29" t="s">
        <v>140</v>
      </c>
      <c r="B103" s="31">
        <v>0.22291666666666665</v>
      </c>
      <c r="C103" s="31">
        <v>0.7715277777777777</v>
      </c>
      <c r="D103" s="31">
        <v>0.15138888888888888</v>
      </c>
      <c r="E103" s="31">
        <v>0.84305555555555556</v>
      </c>
      <c r="F103" s="31">
        <v>0.17777777777777778</v>
      </c>
      <c r="G103" s="31">
        <v>0.81666666666666676</v>
      </c>
      <c r="H103" s="31">
        <v>0.20208333333333331</v>
      </c>
      <c r="I103" s="31">
        <v>0.79236111111111107</v>
      </c>
      <c r="J103" s="31">
        <v>0.49652777777777773</v>
      </c>
      <c r="K103" s="30">
        <f>((K125-K95)/30)+K102</f>
        <v>60.933333333333337</v>
      </c>
      <c r="L103" s="30">
        <f>((L125-L95)/30)+L102</f>
        <v>50.399999999999977</v>
      </c>
      <c r="M103" s="90">
        <v>48.799999999999976</v>
      </c>
      <c r="N103" s="89">
        <f t="shared" si="20"/>
        <v>29.833333333333325</v>
      </c>
      <c r="O103" s="106">
        <f t="shared" si="21"/>
        <v>42.733333333333348</v>
      </c>
      <c r="P103" s="108">
        <v>33.08</v>
      </c>
      <c r="Q103" s="108">
        <v>11.733333333333334</v>
      </c>
      <c r="R103" s="107">
        <v>26.533333333333331</v>
      </c>
      <c r="S103" s="41" t="s">
        <v>435</v>
      </c>
      <c r="T103" s="41" t="s">
        <v>431</v>
      </c>
      <c r="U103" s="33"/>
      <c r="V103" s="44">
        <v>100</v>
      </c>
      <c r="W103" s="46">
        <f t="shared" si="19"/>
        <v>4.0000000000000018</v>
      </c>
      <c r="X103" s="46">
        <f t="shared" si="22"/>
        <v>6.3636363636363633</v>
      </c>
      <c r="Y103" s="46">
        <f t="shared" si="23"/>
        <v>8.4999999999999893</v>
      </c>
      <c r="Z103" s="46">
        <f t="shared" si="16"/>
        <v>9.9999999999999858</v>
      </c>
      <c r="AA103" s="46">
        <f t="shared" si="15"/>
        <v>19.999999999999975</v>
      </c>
      <c r="AC103" s="44">
        <v>100</v>
      </c>
      <c r="AD103" s="46">
        <v>25</v>
      </c>
      <c r="AE103" s="46">
        <v>25</v>
      </c>
      <c r="AF103" s="46">
        <v>25</v>
      </c>
      <c r="AG103" s="46">
        <v>25</v>
      </c>
      <c r="AH103" s="46">
        <v>25</v>
      </c>
      <c r="AO103">
        <v>100</v>
      </c>
      <c r="AP103" t="s">
        <v>501</v>
      </c>
    </row>
    <row r="104" spans="1:43" ht="15.95" customHeight="1" x14ac:dyDescent="0.25">
      <c r="A104" s="29" t="s">
        <v>141</v>
      </c>
      <c r="B104" s="31">
        <v>0.22152777777777777</v>
      </c>
      <c r="C104" s="31">
        <v>0.77222222222222225</v>
      </c>
      <c r="D104" s="31">
        <v>0.15</v>
      </c>
      <c r="E104" s="31">
        <v>0.84375</v>
      </c>
      <c r="F104" s="31">
        <v>0.1763888888888889</v>
      </c>
      <c r="G104" s="31">
        <v>0.81805555555555554</v>
      </c>
      <c r="H104" s="31">
        <v>0.20069444444444443</v>
      </c>
      <c r="I104" s="31">
        <v>0.79305555555555562</v>
      </c>
      <c r="J104" s="31">
        <v>0.49652777777777773</v>
      </c>
      <c r="K104" s="30">
        <f>((K125-K95)/30)+K103</f>
        <v>61.300000000000004</v>
      </c>
      <c r="L104" s="30">
        <f>((L125-L95)/30)+L103</f>
        <v>50.699999999999974</v>
      </c>
      <c r="M104" s="90">
        <v>49.099999999999973</v>
      </c>
      <c r="N104" s="89">
        <f t="shared" si="20"/>
        <v>30.349999999999991</v>
      </c>
      <c r="O104" s="106">
        <f t="shared" si="21"/>
        <v>42.700000000000017</v>
      </c>
      <c r="P104" s="108">
        <v>33.44</v>
      </c>
      <c r="Q104" s="108">
        <v>11.700000000000001</v>
      </c>
      <c r="R104" s="107">
        <v>26.599999999999998</v>
      </c>
      <c r="S104" s="41" t="s">
        <v>435</v>
      </c>
      <c r="T104" s="41" t="s">
        <v>431</v>
      </c>
      <c r="U104" s="33"/>
      <c r="V104" s="44">
        <v>101</v>
      </c>
      <c r="W104" s="46">
        <f>W103+(1/16)</f>
        <v>4.0625000000000018</v>
      </c>
      <c r="X104" s="46">
        <f t="shared" si="22"/>
        <v>6.4545454545454541</v>
      </c>
      <c r="Y104" s="46">
        <f t="shared" si="23"/>
        <v>8.6249999999999893</v>
      </c>
      <c r="Z104" s="46">
        <f>Z103+(1/6)</f>
        <v>10.166666666666652</v>
      </c>
      <c r="AA104" s="46">
        <f>AA103+(1/3)</f>
        <v>20.333333333333307</v>
      </c>
      <c r="AC104" s="44">
        <v>101</v>
      </c>
      <c r="AD104" s="46">
        <v>25</v>
      </c>
      <c r="AE104" s="46">
        <v>25</v>
      </c>
      <c r="AF104" s="46">
        <v>25</v>
      </c>
      <c r="AG104" s="46">
        <v>25</v>
      </c>
      <c r="AH104" s="46">
        <v>25</v>
      </c>
    </row>
    <row r="105" spans="1:43" ht="15.95" customHeight="1" x14ac:dyDescent="0.25">
      <c r="A105" s="29" t="s">
        <v>142</v>
      </c>
      <c r="B105" s="31">
        <v>0.22013888888888888</v>
      </c>
      <c r="C105" s="31">
        <v>0.7729166666666667</v>
      </c>
      <c r="D105" s="31">
        <v>0.14861111111111111</v>
      </c>
      <c r="E105" s="31">
        <v>0.84513888888888899</v>
      </c>
      <c r="F105" s="31">
        <v>0.17500000000000002</v>
      </c>
      <c r="G105" s="31">
        <v>0.81874999999999998</v>
      </c>
      <c r="H105" s="31">
        <v>0.19930555555555554</v>
      </c>
      <c r="I105" s="31">
        <v>0.79375000000000007</v>
      </c>
      <c r="J105" s="31">
        <v>0.49652777777777773</v>
      </c>
      <c r="K105" s="30">
        <f>((K125-K95)/30)+K104</f>
        <v>61.666666666666671</v>
      </c>
      <c r="L105" s="30">
        <f>((L125-L95)/30)+L104</f>
        <v>50.999999999999972</v>
      </c>
      <c r="M105" s="90">
        <v>49.39999999999997</v>
      </c>
      <c r="N105" s="89">
        <f t="shared" si="20"/>
        <v>30.866666666666656</v>
      </c>
      <c r="O105" s="106">
        <f t="shared" si="21"/>
        <v>42.666666666666686</v>
      </c>
      <c r="P105" s="108">
        <v>33.799999999999997</v>
      </c>
      <c r="Q105" s="108">
        <v>11.666666666666668</v>
      </c>
      <c r="R105" s="107">
        <v>26.666666666666664</v>
      </c>
      <c r="S105" s="41" t="s">
        <v>435</v>
      </c>
      <c r="T105" s="41" t="s">
        <v>431</v>
      </c>
      <c r="U105" s="33"/>
      <c r="V105" s="44">
        <v>102</v>
      </c>
      <c r="W105" s="46">
        <f t="shared" ref="W105:W167" si="24">W104+(1/16)</f>
        <v>4.1250000000000018</v>
      </c>
      <c r="X105" s="46">
        <f t="shared" si="22"/>
        <v>6.545454545454545</v>
      </c>
      <c r="Y105" s="46">
        <f t="shared" si="23"/>
        <v>8.7499999999999893</v>
      </c>
      <c r="Z105" s="46">
        <f t="shared" ref="Z105:Z163" si="25">Z104+(1/6)</f>
        <v>10.333333333333318</v>
      </c>
      <c r="AA105" s="46">
        <f>AA104+(1/3)</f>
        <v>20.666666666666639</v>
      </c>
      <c r="AC105" s="44">
        <v>102</v>
      </c>
      <c r="AD105" s="46">
        <v>25</v>
      </c>
      <c r="AE105" s="46">
        <v>25</v>
      </c>
      <c r="AF105" s="46">
        <v>25</v>
      </c>
      <c r="AG105" s="46">
        <v>25</v>
      </c>
      <c r="AH105" s="46">
        <v>25</v>
      </c>
    </row>
    <row r="106" spans="1:43" ht="15.95" customHeight="1" x14ac:dyDescent="0.25">
      <c r="A106" s="29" t="s">
        <v>143</v>
      </c>
      <c r="B106" s="31">
        <v>0.21875</v>
      </c>
      <c r="C106" s="31">
        <v>0.77430555555555547</v>
      </c>
      <c r="D106" s="31">
        <v>0.14722222222222223</v>
      </c>
      <c r="E106" s="31">
        <v>0.84583333333333333</v>
      </c>
      <c r="F106" s="31">
        <v>0.17361111111111113</v>
      </c>
      <c r="G106" s="31">
        <v>0.81944444444444453</v>
      </c>
      <c r="H106" s="31">
        <v>0.1986111111111111</v>
      </c>
      <c r="I106" s="31">
        <v>0.7944444444444444</v>
      </c>
      <c r="J106" s="31">
        <v>0.49652777777777773</v>
      </c>
      <c r="K106" s="30">
        <f>((K125-K95)/30)+K105</f>
        <v>62.033333333333339</v>
      </c>
      <c r="L106" s="30">
        <f>((L125-L95)/30)+L105</f>
        <v>51.299999999999969</v>
      </c>
      <c r="M106" s="90">
        <v>49.699999999999967</v>
      </c>
      <c r="N106" s="89">
        <f t="shared" si="20"/>
        <v>31.383333333333322</v>
      </c>
      <c r="O106" s="106">
        <f t="shared" si="21"/>
        <v>42.633333333333354</v>
      </c>
      <c r="P106" s="108">
        <v>34.159999999999997</v>
      </c>
      <c r="Q106" s="108">
        <v>11.633333333333335</v>
      </c>
      <c r="R106" s="107">
        <v>26.733333333333331</v>
      </c>
      <c r="S106" s="41" t="s">
        <v>435</v>
      </c>
      <c r="T106" s="41" t="s">
        <v>431</v>
      </c>
      <c r="U106" s="33"/>
      <c r="V106" s="44">
        <v>103</v>
      </c>
      <c r="W106" s="46">
        <f t="shared" si="24"/>
        <v>4.1875000000000018</v>
      </c>
      <c r="X106" s="46">
        <f t="shared" si="22"/>
        <v>6.6363636363636358</v>
      </c>
      <c r="Y106" s="46">
        <f t="shared" si="23"/>
        <v>8.8749999999999893</v>
      </c>
      <c r="Z106" s="46">
        <f t="shared" si="25"/>
        <v>10.499999999999984</v>
      </c>
      <c r="AA106" s="46">
        <f>AA105+(1/3)</f>
        <v>20.999999999999972</v>
      </c>
      <c r="AC106" s="44">
        <v>103</v>
      </c>
      <c r="AD106" s="46">
        <v>25</v>
      </c>
      <c r="AE106" s="46">
        <v>25</v>
      </c>
      <c r="AF106" s="46">
        <v>25</v>
      </c>
      <c r="AG106" s="46">
        <v>25</v>
      </c>
      <c r="AH106" s="46">
        <v>25</v>
      </c>
    </row>
    <row r="107" spans="1:43" ht="15.95" customHeight="1" x14ac:dyDescent="0.25">
      <c r="A107" s="29" t="s">
        <v>144</v>
      </c>
      <c r="B107" s="31">
        <v>0.21805555555555556</v>
      </c>
      <c r="C107" s="31">
        <v>0.77500000000000002</v>
      </c>
      <c r="D107" s="31">
        <v>0.14583333333333334</v>
      </c>
      <c r="E107" s="31">
        <v>0.84722222222222221</v>
      </c>
      <c r="F107" s="31">
        <v>0.17222222222222225</v>
      </c>
      <c r="G107" s="31">
        <v>0.8208333333333333</v>
      </c>
      <c r="H107" s="31">
        <v>0.19722222222222222</v>
      </c>
      <c r="I107" s="31">
        <v>0.79583333333333339</v>
      </c>
      <c r="J107" s="31">
        <v>0.49583333333333335</v>
      </c>
      <c r="K107" s="30">
        <f>((K125-K95)/30)+K106</f>
        <v>62.400000000000006</v>
      </c>
      <c r="L107" s="30">
        <f>((L125-L95)/30)+L106</f>
        <v>51.599999999999966</v>
      </c>
      <c r="M107" s="90">
        <v>49.999999999999964</v>
      </c>
      <c r="N107" s="89">
        <f t="shared" si="20"/>
        <v>31.899999999999988</v>
      </c>
      <c r="O107" s="106">
        <f t="shared" si="21"/>
        <v>42.600000000000023</v>
      </c>
      <c r="P107" s="108">
        <v>34.519999999999996</v>
      </c>
      <c r="Q107" s="108">
        <v>11.600000000000001</v>
      </c>
      <c r="R107" s="107">
        <v>26.799999999999997</v>
      </c>
      <c r="S107" s="41" t="s">
        <v>435</v>
      </c>
      <c r="T107" s="41" t="s">
        <v>431</v>
      </c>
      <c r="U107" s="33"/>
      <c r="V107" s="44">
        <v>104</v>
      </c>
      <c r="W107" s="46">
        <f t="shared" si="24"/>
        <v>4.2500000000000018</v>
      </c>
      <c r="X107" s="46">
        <f t="shared" si="22"/>
        <v>6.7272727272727266</v>
      </c>
      <c r="Y107" s="46">
        <f t="shared" si="23"/>
        <v>8.9999999999999893</v>
      </c>
      <c r="Z107" s="46">
        <f t="shared" si="25"/>
        <v>10.66666666666665</v>
      </c>
      <c r="AA107" s="46">
        <f t="shared" ref="AA107:AA163" si="26">AA106+(1/3)</f>
        <v>21.333333333333304</v>
      </c>
      <c r="AC107" s="44">
        <v>104</v>
      </c>
      <c r="AD107" s="46">
        <v>25</v>
      </c>
      <c r="AE107" s="46">
        <v>25</v>
      </c>
      <c r="AF107" s="46">
        <v>25</v>
      </c>
      <c r="AG107" s="46">
        <v>25</v>
      </c>
      <c r="AH107" s="46">
        <v>25</v>
      </c>
    </row>
    <row r="108" spans="1:43" ht="15.95" customHeight="1" x14ac:dyDescent="0.25">
      <c r="A108" s="29" t="s">
        <v>145</v>
      </c>
      <c r="B108" s="31">
        <v>0.21666666666666667</v>
      </c>
      <c r="C108" s="31">
        <v>0.77569444444444446</v>
      </c>
      <c r="D108" s="31">
        <v>0.14444444444444446</v>
      </c>
      <c r="E108" s="31">
        <v>0.84861111111111109</v>
      </c>
      <c r="F108" s="31">
        <v>0.17083333333333331</v>
      </c>
      <c r="G108" s="31">
        <v>0.82152777777777775</v>
      </c>
      <c r="H108" s="31">
        <v>0.19583333333333333</v>
      </c>
      <c r="I108" s="31">
        <v>0.79652777777777783</v>
      </c>
      <c r="J108" s="31">
        <v>0.49583333333333335</v>
      </c>
      <c r="K108" s="30">
        <f>((K125-K95)/30)+K107</f>
        <v>62.766666666666673</v>
      </c>
      <c r="L108" s="30">
        <f>((L125-L95)/30)+L107</f>
        <v>51.899999999999963</v>
      </c>
      <c r="M108" s="90">
        <v>50.299999999999962</v>
      </c>
      <c r="N108" s="89">
        <f t="shared" si="20"/>
        <v>32.416666666666657</v>
      </c>
      <c r="O108" s="106">
        <f t="shared" si="21"/>
        <v>42.566666666666691</v>
      </c>
      <c r="P108" s="108">
        <v>34.879999999999995</v>
      </c>
      <c r="Q108" s="108">
        <v>11.566666666666668</v>
      </c>
      <c r="R108" s="107">
        <v>26.866666666666664</v>
      </c>
      <c r="S108" s="41" t="s">
        <v>435</v>
      </c>
      <c r="T108" s="41" t="s">
        <v>431</v>
      </c>
      <c r="U108" s="33"/>
      <c r="V108" s="44">
        <v>105</v>
      </c>
      <c r="W108" s="46">
        <f t="shared" si="24"/>
        <v>4.3125000000000018</v>
      </c>
      <c r="X108" s="46">
        <f t="shared" si="22"/>
        <v>6.8181818181818175</v>
      </c>
      <c r="Y108" s="46">
        <f t="shared" si="23"/>
        <v>9.1249999999999893</v>
      </c>
      <c r="Z108" s="46">
        <f t="shared" si="25"/>
        <v>10.833333333333316</v>
      </c>
      <c r="AA108" s="46">
        <f t="shared" si="26"/>
        <v>21.666666666666636</v>
      </c>
      <c r="AC108" s="44">
        <v>105</v>
      </c>
      <c r="AD108" s="46">
        <v>25</v>
      </c>
      <c r="AE108" s="46">
        <v>25</v>
      </c>
      <c r="AF108" s="46">
        <v>25</v>
      </c>
      <c r="AG108" s="46">
        <v>25</v>
      </c>
      <c r="AH108" s="46">
        <v>25</v>
      </c>
    </row>
    <row r="109" spans="1:43" ht="15.95" customHeight="1" x14ac:dyDescent="0.25">
      <c r="A109" s="29" t="s">
        <v>146</v>
      </c>
      <c r="B109" s="31">
        <v>0.21527777777777779</v>
      </c>
      <c r="C109" s="31">
        <v>0.77638888888888891</v>
      </c>
      <c r="D109" s="31">
        <v>0.14305555555555557</v>
      </c>
      <c r="E109" s="31">
        <v>0.84930555555555554</v>
      </c>
      <c r="F109" s="31">
        <v>0.16944444444444443</v>
      </c>
      <c r="G109" s="31">
        <v>0.82291666666666663</v>
      </c>
      <c r="H109" s="31">
        <v>0.19444444444444445</v>
      </c>
      <c r="I109" s="31">
        <v>0.79722222222222217</v>
      </c>
      <c r="J109" s="31">
        <v>0.49583333333333335</v>
      </c>
      <c r="K109" s="30">
        <f>((K125-K95)/30)+K108</f>
        <v>63.13333333333334</v>
      </c>
      <c r="L109" s="30">
        <f>((L125-L95)/30)+L108</f>
        <v>52.19999999999996</v>
      </c>
      <c r="M109" s="90">
        <v>50.599999999999959</v>
      </c>
      <c r="N109" s="89">
        <f t="shared" si="20"/>
        <v>32.933333333333323</v>
      </c>
      <c r="O109" s="106">
        <f t="shared" si="21"/>
        <v>42.53333333333336</v>
      </c>
      <c r="P109" s="108">
        <v>35.239999999999995</v>
      </c>
      <c r="Q109" s="108">
        <v>11.533333333333335</v>
      </c>
      <c r="R109" s="107">
        <v>26.93333333333333</v>
      </c>
      <c r="S109" s="41" t="s">
        <v>435</v>
      </c>
      <c r="T109" s="41" t="s">
        <v>431</v>
      </c>
      <c r="U109" s="33"/>
      <c r="V109" s="44">
        <v>106</v>
      </c>
      <c r="W109" s="46">
        <f t="shared" si="24"/>
        <v>4.3750000000000018</v>
      </c>
      <c r="X109" s="46">
        <f t="shared" si="22"/>
        <v>6.9090909090909083</v>
      </c>
      <c r="Y109" s="46">
        <f t="shared" si="23"/>
        <v>9.2499999999999893</v>
      </c>
      <c r="Z109" s="46">
        <f t="shared" si="25"/>
        <v>10.999999999999982</v>
      </c>
      <c r="AA109" s="46">
        <f t="shared" si="26"/>
        <v>21.999999999999968</v>
      </c>
      <c r="AC109" s="44">
        <v>106</v>
      </c>
      <c r="AD109" s="46">
        <v>25</v>
      </c>
      <c r="AE109" s="46">
        <v>25</v>
      </c>
      <c r="AF109" s="46">
        <v>25</v>
      </c>
      <c r="AG109" s="46">
        <v>25</v>
      </c>
      <c r="AH109" s="46">
        <v>25</v>
      </c>
    </row>
    <row r="110" spans="1:43" ht="15.95" customHeight="1" x14ac:dyDescent="0.25">
      <c r="A110" s="29" t="s">
        <v>147</v>
      </c>
      <c r="B110" s="31">
        <v>0.21458333333333335</v>
      </c>
      <c r="C110" s="31">
        <v>0.77708333333333324</v>
      </c>
      <c r="D110" s="31">
        <v>0.14097222222222222</v>
      </c>
      <c r="E110" s="31">
        <v>0.85069444444444453</v>
      </c>
      <c r="F110" s="31">
        <v>0.16805555555555554</v>
      </c>
      <c r="G110" s="31">
        <v>0.82361111111111107</v>
      </c>
      <c r="H110" s="31">
        <v>0.19375000000000001</v>
      </c>
      <c r="I110" s="31">
        <v>0.79861111111111116</v>
      </c>
      <c r="J110" s="31">
        <v>0.49583333333333335</v>
      </c>
      <c r="K110" s="30">
        <f>((K125-K95)/30)+K109</f>
        <v>63.500000000000007</v>
      </c>
      <c r="L110" s="30">
        <f>((L125-L95)/30)+L109</f>
        <v>52.499999999999957</v>
      </c>
      <c r="M110" s="90">
        <v>50.899999999999956</v>
      </c>
      <c r="N110" s="89">
        <f t="shared" si="20"/>
        <v>33.449999999999989</v>
      </c>
      <c r="O110" s="106">
        <f t="shared" si="21"/>
        <v>42.500000000000028</v>
      </c>
      <c r="P110" s="108">
        <v>35.599999999999994</v>
      </c>
      <c r="Q110" s="108">
        <v>11.500000000000002</v>
      </c>
      <c r="R110" s="107">
        <v>26.999999999999996</v>
      </c>
      <c r="S110" s="41" t="s">
        <v>435</v>
      </c>
      <c r="T110" s="41" t="s">
        <v>431</v>
      </c>
      <c r="U110" s="33"/>
      <c r="V110" s="44">
        <v>107</v>
      </c>
      <c r="W110" s="46">
        <f t="shared" si="24"/>
        <v>4.4375000000000018</v>
      </c>
      <c r="X110" s="46">
        <f t="shared" si="22"/>
        <v>6.9999999999999991</v>
      </c>
      <c r="Y110" s="46">
        <f t="shared" si="23"/>
        <v>9.3749999999999893</v>
      </c>
      <c r="Z110" s="46">
        <f t="shared" si="25"/>
        <v>11.166666666666648</v>
      </c>
      <c r="AA110" s="46">
        <f t="shared" si="26"/>
        <v>22.3333333333333</v>
      </c>
      <c r="AC110" s="44">
        <v>107</v>
      </c>
      <c r="AD110" s="46">
        <v>25</v>
      </c>
      <c r="AE110" s="46">
        <v>25</v>
      </c>
      <c r="AF110" s="46">
        <v>25</v>
      </c>
      <c r="AG110" s="46">
        <v>25</v>
      </c>
      <c r="AH110" s="46">
        <v>25</v>
      </c>
    </row>
    <row r="111" spans="1:43" ht="15.95" customHeight="1" x14ac:dyDescent="0.25">
      <c r="A111" s="29" t="s">
        <v>148</v>
      </c>
      <c r="B111" s="31">
        <v>0.21319444444444444</v>
      </c>
      <c r="C111" s="31">
        <v>0.77847222222222223</v>
      </c>
      <c r="D111" s="31">
        <v>0.13958333333333334</v>
      </c>
      <c r="E111" s="31">
        <v>0.8520833333333333</v>
      </c>
      <c r="F111" s="31">
        <v>0.16666666666666666</v>
      </c>
      <c r="G111" s="31">
        <v>0.82430555555555562</v>
      </c>
      <c r="H111" s="31">
        <v>0.19236111111111112</v>
      </c>
      <c r="I111" s="31">
        <v>0.7993055555555556</v>
      </c>
      <c r="J111" s="31">
        <v>0.49513888888888885</v>
      </c>
      <c r="K111" s="30">
        <f>((K125-K95)/30)+K110</f>
        <v>63.866666666666674</v>
      </c>
      <c r="L111" s="30">
        <f>((L125-L95)/30)+L110</f>
        <v>52.799999999999955</v>
      </c>
      <c r="M111" s="90">
        <v>51.199999999999953</v>
      </c>
      <c r="N111" s="89">
        <f t="shared" si="20"/>
        <v>33.966666666666654</v>
      </c>
      <c r="O111" s="106">
        <f t="shared" si="21"/>
        <v>42.466666666666697</v>
      </c>
      <c r="P111" s="108">
        <v>35.959999999999994</v>
      </c>
      <c r="Q111" s="108">
        <v>11.466666666666669</v>
      </c>
      <c r="R111" s="107">
        <v>27.066666666666663</v>
      </c>
      <c r="S111" s="41" t="s">
        <v>435</v>
      </c>
      <c r="T111" s="41" t="s">
        <v>431</v>
      </c>
      <c r="U111" s="33"/>
      <c r="V111" s="44">
        <v>108</v>
      </c>
      <c r="W111" s="46">
        <f t="shared" si="24"/>
        <v>4.5000000000000018</v>
      </c>
      <c r="X111" s="46">
        <f t="shared" si="22"/>
        <v>7.0909090909090899</v>
      </c>
      <c r="Y111" s="46">
        <f t="shared" si="23"/>
        <v>9.4999999999999893</v>
      </c>
      <c r="Z111" s="46">
        <f t="shared" si="25"/>
        <v>11.333333333333314</v>
      </c>
      <c r="AA111" s="46">
        <f t="shared" si="26"/>
        <v>22.666666666666632</v>
      </c>
      <c r="AC111" s="44">
        <v>108</v>
      </c>
      <c r="AD111" s="46">
        <v>25</v>
      </c>
      <c r="AE111" s="46">
        <v>25</v>
      </c>
      <c r="AF111" s="46">
        <v>25</v>
      </c>
      <c r="AG111" s="46">
        <v>25</v>
      </c>
      <c r="AH111" s="46">
        <v>25</v>
      </c>
    </row>
    <row r="112" spans="1:43" ht="15.95" customHeight="1" x14ac:dyDescent="0.25">
      <c r="A112" s="29" t="s">
        <v>149</v>
      </c>
      <c r="B112" s="31">
        <v>0.21180555555555555</v>
      </c>
      <c r="C112" s="31">
        <v>0.77916666666666667</v>
      </c>
      <c r="D112" s="31">
        <v>0.13819444444444443</v>
      </c>
      <c r="E112" s="31">
        <v>0.85277777777777775</v>
      </c>
      <c r="F112" s="31">
        <v>0.16527777777777777</v>
      </c>
      <c r="G112" s="31">
        <v>0.8256944444444444</v>
      </c>
      <c r="H112" s="31">
        <v>0.19097222222222221</v>
      </c>
      <c r="I112" s="31">
        <v>0.79999999999999993</v>
      </c>
      <c r="J112" s="31">
        <v>0.49513888888888885</v>
      </c>
      <c r="K112" s="30">
        <f>((K125-K95)/30)+K111</f>
        <v>64.233333333333334</v>
      </c>
      <c r="L112" s="30">
        <f>((L125-L95)/30)+L111</f>
        <v>53.099999999999952</v>
      </c>
      <c r="M112" s="90">
        <v>51.49999999999995</v>
      </c>
      <c r="N112" s="89">
        <f t="shared" si="20"/>
        <v>34.48333333333332</v>
      </c>
      <c r="O112" s="106">
        <f t="shared" si="21"/>
        <v>42.433333333333366</v>
      </c>
      <c r="P112" s="108">
        <v>36.319999999999993</v>
      </c>
      <c r="Q112" s="108">
        <v>11.433333333333335</v>
      </c>
      <c r="R112" s="107">
        <v>27.133333333333329</v>
      </c>
      <c r="S112" s="41" t="s">
        <v>435</v>
      </c>
      <c r="T112" s="41" t="s">
        <v>431</v>
      </c>
      <c r="U112" s="33"/>
      <c r="V112" s="44">
        <v>109</v>
      </c>
      <c r="W112" s="46">
        <f t="shared" si="24"/>
        <v>4.5625000000000018</v>
      </c>
      <c r="X112" s="46">
        <f t="shared" si="22"/>
        <v>7.1818181818181808</v>
      </c>
      <c r="Y112" s="46">
        <f t="shared" si="23"/>
        <v>9.6249999999999893</v>
      </c>
      <c r="Z112" s="46">
        <f t="shared" si="25"/>
        <v>11.49999999999998</v>
      </c>
      <c r="AA112" s="46">
        <f t="shared" si="26"/>
        <v>22.999999999999964</v>
      </c>
      <c r="AC112" s="44">
        <v>109</v>
      </c>
      <c r="AD112" s="46">
        <v>25</v>
      </c>
      <c r="AE112" s="46">
        <v>25</v>
      </c>
      <c r="AF112" s="46">
        <v>25</v>
      </c>
      <c r="AG112" s="46">
        <v>25</v>
      </c>
      <c r="AH112" s="46">
        <v>25</v>
      </c>
    </row>
    <row r="113" spans="1:34" ht="15.95" customHeight="1" x14ac:dyDescent="0.25">
      <c r="A113" s="29" t="s">
        <v>150</v>
      </c>
      <c r="B113" s="31">
        <v>0.21111111111111111</v>
      </c>
      <c r="C113" s="31">
        <v>0.77986111111111101</v>
      </c>
      <c r="D113" s="31">
        <v>0.13680555555555554</v>
      </c>
      <c r="E113" s="31">
        <v>0.85416666666666663</v>
      </c>
      <c r="F113" s="31">
        <v>0.16458333333333333</v>
      </c>
      <c r="G113" s="31">
        <v>0.82638888888888884</v>
      </c>
      <c r="H113" s="31">
        <v>0.18958333333333333</v>
      </c>
      <c r="I113" s="31">
        <v>0.80069444444444438</v>
      </c>
      <c r="J113" s="31">
        <v>0.49513888888888885</v>
      </c>
      <c r="K113" s="30">
        <f>((K125-K95)/30)+K112</f>
        <v>64.599999999999994</v>
      </c>
      <c r="L113" s="30">
        <f>((L125-L95)/30)+L112</f>
        <v>53.399999999999949</v>
      </c>
      <c r="M113" s="90">
        <v>51.799999999999947</v>
      </c>
      <c r="N113" s="89">
        <f t="shared" si="20"/>
        <v>34.999999999999986</v>
      </c>
      <c r="O113" s="106">
        <f t="shared" si="21"/>
        <v>42.400000000000034</v>
      </c>
      <c r="P113" s="108">
        <v>36.679999999999993</v>
      </c>
      <c r="Q113" s="108">
        <v>11.400000000000002</v>
      </c>
      <c r="R113" s="107">
        <v>27.199999999999996</v>
      </c>
      <c r="S113" s="41" t="s">
        <v>435</v>
      </c>
      <c r="T113" s="41" t="s">
        <v>431</v>
      </c>
      <c r="U113" s="33"/>
      <c r="V113" s="44">
        <v>110</v>
      </c>
      <c r="W113" s="46">
        <f t="shared" si="24"/>
        <v>4.6250000000000018</v>
      </c>
      <c r="X113" s="46">
        <f t="shared" si="22"/>
        <v>7.2727272727272716</v>
      </c>
      <c r="Y113" s="46">
        <f t="shared" si="23"/>
        <v>9.7499999999999893</v>
      </c>
      <c r="Z113" s="46">
        <f t="shared" si="25"/>
        <v>11.666666666666647</v>
      </c>
      <c r="AA113" s="46">
        <f t="shared" si="26"/>
        <v>23.333333333333297</v>
      </c>
      <c r="AC113" s="44">
        <v>110</v>
      </c>
      <c r="AD113" s="46">
        <v>25</v>
      </c>
      <c r="AE113" s="46">
        <v>25</v>
      </c>
      <c r="AF113" s="46">
        <v>25</v>
      </c>
      <c r="AG113" s="46">
        <v>25</v>
      </c>
      <c r="AH113" s="46">
        <v>25</v>
      </c>
    </row>
    <row r="114" spans="1:34" ht="15.95" customHeight="1" x14ac:dyDescent="0.25">
      <c r="A114" s="29" t="s">
        <v>151</v>
      </c>
      <c r="B114" s="31">
        <v>0.20972222222222223</v>
      </c>
      <c r="C114" s="31">
        <v>0.78055555555555556</v>
      </c>
      <c r="D114" s="31">
        <v>0.13541666666666666</v>
      </c>
      <c r="E114" s="31">
        <v>0.85555555555555562</v>
      </c>
      <c r="F114" s="31">
        <v>0.16319444444444445</v>
      </c>
      <c r="G114" s="31">
        <v>0.82777777777777783</v>
      </c>
      <c r="H114" s="31">
        <v>0.18888888888888888</v>
      </c>
      <c r="I114" s="31">
        <v>0.80208333333333337</v>
      </c>
      <c r="J114" s="31">
        <v>0.49513888888888885</v>
      </c>
      <c r="K114" s="30">
        <f>((K125-K95)/30)+K113</f>
        <v>64.966666666666654</v>
      </c>
      <c r="L114" s="30">
        <f>((L125-L95)/30)+L113</f>
        <v>53.699999999999946</v>
      </c>
      <c r="M114" s="90">
        <v>52.099999999999945</v>
      </c>
      <c r="N114" s="89">
        <f t="shared" si="20"/>
        <v>35.516666666666652</v>
      </c>
      <c r="O114" s="106">
        <f t="shared" si="21"/>
        <v>42.366666666666703</v>
      </c>
      <c r="P114" s="108">
        <v>37.039999999999992</v>
      </c>
      <c r="Q114" s="108">
        <v>11.366666666666669</v>
      </c>
      <c r="R114" s="107">
        <v>27.266666666666662</v>
      </c>
      <c r="S114" s="41" t="s">
        <v>435</v>
      </c>
      <c r="T114" s="41" t="s">
        <v>431</v>
      </c>
      <c r="U114" s="33"/>
      <c r="V114" s="44">
        <v>111</v>
      </c>
      <c r="W114" s="46">
        <f t="shared" si="24"/>
        <v>4.6875000000000018</v>
      </c>
      <c r="X114" s="46">
        <f t="shared" si="22"/>
        <v>7.3636363636363624</v>
      </c>
      <c r="Y114" s="46">
        <f t="shared" si="23"/>
        <v>9.8749999999999893</v>
      </c>
      <c r="Z114" s="46">
        <f t="shared" si="25"/>
        <v>11.833333333333313</v>
      </c>
      <c r="AA114" s="46">
        <f t="shared" si="26"/>
        <v>23.666666666666629</v>
      </c>
      <c r="AC114" s="44">
        <v>111</v>
      </c>
      <c r="AD114" s="46">
        <v>25</v>
      </c>
      <c r="AE114" s="46">
        <v>25</v>
      </c>
      <c r="AF114" s="46">
        <v>25</v>
      </c>
      <c r="AG114" s="46">
        <v>25</v>
      </c>
      <c r="AH114" s="46">
        <v>25</v>
      </c>
    </row>
    <row r="115" spans="1:34" ht="15.95" customHeight="1" x14ac:dyDescent="0.25">
      <c r="A115" s="29" t="s">
        <v>152</v>
      </c>
      <c r="B115" s="31">
        <v>0.20833333333333334</v>
      </c>
      <c r="C115" s="31">
        <v>0.78125</v>
      </c>
      <c r="D115" s="31">
        <v>0.13402777777777777</v>
      </c>
      <c r="E115" s="31">
        <v>0.8569444444444444</v>
      </c>
      <c r="F115" s="31">
        <v>0.16180555555555556</v>
      </c>
      <c r="G115" s="31">
        <v>0.82847222222222217</v>
      </c>
      <c r="H115" s="31">
        <v>0.1875</v>
      </c>
      <c r="I115" s="31">
        <v>0.8027777777777777</v>
      </c>
      <c r="J115" s="31">
        <v>0.49444444444444446</v>
      </c>
      <c r="K115" s="30">
        <f>((K125-K95)/30)+K114</f>
        <v>65.333333333333314</v>
      </c>
      <c r="L115" s="30">
        <f>((L125-L95)/30)+L114</f>
        <v>53.999999999999943</v>
      </c>
      <c r="M115" s="90">
        <v>52.399999999999942</v>
      </c>
      <c r="N115" s="89">
        <f t="shared" si="20"/>
        <v>36.033333333333317</v>
      </c>
      <c r="O115" s="106">
        <f t="shared" si="21"/>
        <v>42.333333333333371</v>
      </c>
      <c r="P115" s="108">
        <v>37.399999999999991</v>
      </c>
      <c r="Q115" s="108">
        <v>11.333333333333336</v>
      </c>
      <c r="R115" s="107">
        <v>27.333333333333329</v>
      </c>
      <c r="S115" s="41" t="s">
        <v>435</v>
      </c>
      <c r="T115" s="41" t="s">
        <v>431</v>
      </c>
      <c r="U115" s="33"/>
      <c r="V115" s="44">
        <v>112</v>
      </c>
      <c r="W115" s="46">
        <f t="shared" si="24"/>
        <v>4.7500000000000018</v>
      </c>
      <c r="X115" s="46">
        <f t="shared" si="22"/>
        <v>7.4545454545454533</v>
      </c>
      <c r="Y115" s="46">
        <f t="shared" si="23"/>
        <v>9.9999999999999893</v>
      </c>
      <c r="Z115" s="46">
        <f t="shared" si="25"/>
        <v>11.999999999999979</v>
      </c>
      <c r="AA115" s="46">
        <f t="shared" si="26"/>
        <v>23.999999999999961</v>
      </c>
      <c r="AC115" s="44">
        <v>112</v>
      </c>
      <c r="AD115" s="46">
        <v>25</v>
      </c>
      <c r="AE115" s="46">
        <v>25</v>
      </c>
      <c r="AF115" s="46">
        <v>25</v>
      </c>
      <c r="AG115" s="46">
        <v>25</v>
      </c>
      <c r="AH115" s="46">
        <v>25</v>
      </c>
    </row>
    <row r="116" spans="1:34" ht="15.95" customHeight="1" x14ac:dyDescent="0.25">
      <c r="A116" s="29" t="s">
        <v>153</v>
      </c>
      <c r="B116" s="31">
        <v>0.2076388888888889</v>
      </c>
      <c r="C116" s="31">
        <v>0.78194444444444444</v>
      </c>
      <c r="D116" s="31">
        <v>0.13263888888888889</v>
      </c>
      <c r="E116" s="31">
        <v>0.85763888888888884</v>
      </c>
      <c r="F116" s="31">
        <v>0.16041666666666668</v>
      </c>
      <c r="G116" s="31">
        <v>0.82986111111111116</v>
      </c>
      <c r="H116" s="31">
        <v>0.18611111111111112</v>
      </c>
      <c r="I116" s="31">
        <v>0.80347222222222225</v>
      </c>
      <c r="J116" s="31">
        <v>0.49444444444444446</v>
      </c>
      <c r="K116" s="30">
        <f>((K125-K95)/30)+K115</f>
        <v>65.699999999999974</v>
      </c>
      <c r="L116" s="30">
        <f>((L125-L95)/30)+L115</f>
        <v>54.29999999999994</v>
      </c>
      <c r="M116" s="90">
        <v>52.699999999999939</v>
      </c>
      <c r="N116" s="89">
        <f t="shared" si="20"/>
        <v>36.549999999999983</v>
      </c>
      <c r="O116" s="106">
        <f t="shared" si="21"/>
        <v>42.30000000000004</v>
      </c>
      <c r="P116" s="108">
        <v>37.759999999999991</v>
      </c>
      <c r="Q116" s="108">
        <v>11.300000000000002</v>
      </c>
      <c r="R116" s="107">
        <v>27.399999999999995</v>
      </c>
      <c r="S116" s="41" t="s">
        <v>435</v>
      </c>
      <c r="T116" s="41" t="s">
        <v>431</v>
      </c>
      <c r="U116" s="33"/>
      <c r="V116" s="44">
        <v>113</v>
      </c>
      <c r="W116" s="46">
        <f t="shared" si="24"/>
        <v>4.8125000000000018</v>
      </c>
      <c r="X116" s="46">
        <f t="shared" si="22"/>
        <v>7.5454545454545441</v>
      </c>
      <c r="Y116" s="46">
        <f t="shared" si="23"/>
        <v>10.124999999999989</v>
      </c>
      <c r="Z116" s="46">
        <f t="shared" si="25"/>
        <v>12.166666666666645</v>
      </c>
      <c r="AA116" s="46">
        <f t="shared" si="26"/>
        <v>24.333333333333293</v>
      </c>
      <c r="AC116" s="44">
        <v>113</v>
      </c>
      <c r="AD116" s="46">
        <v>25</v>
      </c>
      <c r="AE116" s="46">
        <v>25</v>
      </c>
      <c r="AF116" s="46">
        <v>25</v>
      </c>
      <c r="AG116" s="46">
        <v>25</v>
      </c>
      <c r="AH116" s="46">
        <v>25</v>
      </c>
    </row>
    <row r="117" spans="1:34" ht="15.95" customHeight="1" x14ac:dyDescent="0.25">
      <c r="A117" s="29" t="s">
        <v>154</v>
      </c>
      <c r="B117" s="31">
        <v>0.20625000000000002</v>
      </c>
      <c r="C117" s="31">
        <v>0.78333333333333333</v>
      </c>
      <c r="D117" s="31">
        <v>0.13125000000000001</v>
      </c>
      <c r="E117" s="31">
        <v>0.85902777777777783</v>
      </c>
      <c r="F117" s="31">
        <v>0.15902777777777777</v>
      </c>
      <c r="G117" s="31">
        <v>0.8305555555555556</v>
      </c>
      <c r="H117" s="31">
        <v>0.18541666666666667</v>
      </c>
      <c r="I117" s="31">
        <v>0.80486111111111114</v>
      </c>
      <c r="J117" s="31">
        <v>0.49444444444444446</v>
      </c>
      <c r="K117" s="30">
        <f>((K125-K95)/30)+K116</f>
        <v>66.066666666666634</v>
      </c>
      <c r="L117" s="30">
        <f>((L125-L95)/30)+L116</f>
        <v>54.599999999999937</v>
      </c>
      <c r="M117" s="90">
        <v>52.999999999999936</v>
      </c>
      <c r="N117" s="89">
        <f t="shared" si="20"/>
        <v>37.066666666666649</v>
      </c>
      <c r="O117" s="106">
        <f t="shared" si="21"/>
        <v>42.266666666666708</v>
      </c>
      <c r="P117" s="108">
        <v>38.11999999999999</v>
      </c>
      <c r="Q117" s="108">
        <v>11.266666666666669</v>
      </c>
      <c r="R117" s="107">
        <v>27.466666666666661</v>
      </c>
      <c r="S117" s="41" t="s">
        <v>435</v>
      </c>
      <c r="T117" s="41" t="s">
        <v>431</v>
      </c>
      <c r="U117" s="33"/>
      <c r="V117" s="44">
        <v>114</v>
      </c>
      <c r="W117" s="46">
        <f t="shared" si="24"/>
        <v>4.8750000000000018</v>
      </c>
      <c r="X117" s="46">
        <f t="shared" si="22"/>
        <v>7.6363636363636349</v>
      </c>
      <c r="Y117" s="46">
        <f t="shared" si="23"/>
        <v>10.249999999999989</v>
      </c>
      <c r="Z117" s="46">
        <f t="shared" si="25"/>
        <v>12.333333333333311</v>
      </c>
      <c r="AA117" s="46">
        <f t="shared" si="26"/>
        <v>24.666666666666625</v>
      </c>
      <c r="AC117" s="44">
        <v>114</v>
      </c>
      <c r="AD117" s="46">
        <v>25</v>
      </c>
      <c r="AE117" s="46">
        <v>25</v>
      </c>
      <c r="AF117" s="46">
        <v>25</v>
      </c>
      <c r="AG117" s="46">
        <v>25</v>
      </c>
      <c r="AH117" s="46">
        <v>25</v>
      </c>
    </row>
    <row r="118" spans="1:34" ht="15.95" customHeight="1" x14ac:dyDescent="0.25">
      <c r="A118" s="29" t="s">
        <v>155</v>
      </c>
      <c r="B118" s="31">
        <v>0.20555555555555557</v>
      </c>
      <c r="C118" s="31">
        <v>0.78402777777777777</v>
      </c>
      <c r="D118" s="31">
        <v>0.12916666666666668</v>
      </c>
      <c r="E118" s="31">
        <v>0.86041666666666661</v>
      </c>
      <c r="F118" s="31">
        <v>0.15763888888888888</v>
      </c>
      <c r="G118" s="31">
        <v>0.83194444444444438</v>
      </c>
      <c r="H118" s="31">
        <v>0.18402777777777779</v>
      </c>
      <c r="I118" s="31">
        <v>0.80555555555555547</v>
      </c>
      <c r="J118" s="31">
        <v>0.49444444444444446</v>
      </c>
      <c r="K118" s="30">
        <f>((K125-K95)/30)+K117</f>
        <v>66.433333333333294</v>
      </c>
      <c r="L118" s="30">
        <f>((L125-L95)/30)+L117</f>
        <v>54.899999999999935</v>
      </c>
      <c r="M118" s="90">
        <v>53.299999999999933</v>
      </c>
      <c r="N118" s="89">
        <f t="shared" si="20"/>
        <v>37.583333333333314</v>
      </c>
      <c r="O118" s="106">
        <f t="shared" si="21"/>
        <v>42.233333333333377</v>
      </c>
      <c r="P118" s="108">
        <v>38.47999999999999</v>
      </c>
      <c r="Q118" s="108">
        <v>11.233333333333336</v>
      </c>
      <c r="R118" s="107">
        <v>27.533333333333328</v>
      </c>
      <c r="S118" s="41" t="s">
        <v>435</v>
      </c>
      <c r="T118" s="41" t="s">
        <v>431</v>
      </c>
      <c r="U118" s="33"/>
      <c r="V118" s="44">
        <v>115</v>
      </c>
      <c r="W118" s="46">
        <f t="shared" si="24"/>
        <v>4.9375000000000018</v>
      </c>
      <c r="X118" s="46">
        <f t="shared" si="22"/>
        <v>7.7272727272727257</v>
      </c>
      <c r="Y118" s="46">
        <f t="shared" si="23"/>
        <v>10.374999999999989</v>
      </c>
      <c r="Z118" s="46">
        <f t="shared" si="25"/>
        <v>12.499999999999977</v>
      </c>
      <c r="AA118" s="46">
        <f t="shared" si="26"/>
        <v>24.999999999999957</v>
      </c>
      <c r="AC118" s="44">
        <v>115</v>
      </c>
      <c r="AD118" s="46">
        <v>25</v>
      </c>
      <c r="AE118" s="46">
        <v>25</v>
      </c>
      <c r="AF118" s="46">
        <v>25</v>
      </c>
      <c r="AG118" s="46">
        <v>25</v>
      </c>
      <c r="AH118" s="46">
        <v>25</v>
      </c>
    </row>
    <row r="119" spans="1:34" ht="15.95" customHeight="1" x14ac:dyDescent="0.25">
      <c r="A119" s="29" t="s">
        <v>156</v>
      </c>
      <c r="B119" s="31">
        <v>0.20416666666666669</v>
      </c>
      <c r="C119" s="31">
        <v>0.78472222222222221</v>
      </c>
      <c r="D119" s="31">
        <v>0.1277777777777778</v>
      </c>
      <c r="E119" s="31">
        <v>0.8618055555555556</v>
      </c>
      <c r="F119" s="31">
        <v>0.15625</v>
      </c>
      <c r="G119" s="31">
        <v>0.83263888888888893</v>
      </c>
      <c r="H119" s="31">
        <v>0.18263888888888891</v>
      </c>
      <c r="I119" s="31">
        <v>0.80625000000000002</v>
      </c>
      <c r="J119" s="31">
        <v>0.49444444444444446</v>
      </c>
      <c r="K119" s="30">
        <f>((K125-K95)/30)+K118</f>
        <v>66.799999999999955</v>
      </c>
      <c r="L119" s="30">
        <f>((L125-L95)/30)+L118</f>
        <v>55.199999999999932</v>
      </c>
      <c r="M119" s="90">
        <v>53.59999999999993</v>
      </c>
      <c r="N119" s="89">
        <f t="shared" si="20"/>
        <v>38.09999999999998</v>
      </c>
      <c r="O119" s="106">
        <f t="shared" si="21"/>
        <v>42.200000000000045</v>
      </c>
      <c r="P119" s="108">
        <v>38.839999999999989</v>
      </c>
      <c r="Q119" s="108">
        <v>11.200000000000003</v>
      </c>
      <c r="R119" s="107">
        <v>27.599999999999994</v>
      </c>
      <c r="S119" s="41" t="s">
        <v>435</v>
      </c>
      <c r="T119" s="41" t="s">
        <v>431</v>
      </c>
      <c r="U119" s="33"/>
      <c r="V119" s="44">
        <v>116</v>
      </c>
      <c r="W119" s="46">
        <f t="shared" si="24"/>
        <v>5.0000000000000018</v>
      </c>
      <c r="X119" s="46">
        <f t="shared" si="22"/>
        <v>7.8181818181818166</v>
      </c>
      <c r="Y119" s="46">
        <f t="shared" si="23"/>
        <v>10.499999999999989</v>
      </c>
      <c r="Z119" s="46">
        <f t="shared" si="25"/>
        <v>12.666666666666643</v>
      </c>
      <c r="AA119" s="46">
        <f t="shared" si="26"/>
        <v>25.33333333333329</v>
      </c>
      <c r="AC119" s="44">
        <v>116</v>
      </c>
      <c r="AD119" s="46">
        <v>25</v>
      </c>
      <c r="AE119" s="46">
        <v>25</v>
      </c>
      <c r="AF119" s="46">
        <v>25</v>
      </c>
      <c r="AG119" s="46">
        <v>25</v>
      </c>
      <c r="AH119" s="46">
        <v>25</v>
      </c>
    </row>
    <row r="120" spans="1:34" ht="15.95" customHeight="1" x14ac:dyDescent="0.25">
      <c r="A120" s="29" t="s">
        <v>157</v>
      </c>
      <c r="B120" s="31">
        <v>0.20347222222222219</v>
      </c>
      <c r="C120" s="31">
        <v>0.78541666666666676</v>
      </c>
      <c r="D120" s="31">
        <v>0.12638888888888888</v>
      </c>
      <c r="E120" s="31">
        <v>0.86249999999999993</v>
      </c>
      <c r="F120" s="31">
        <v>0.15555555555555556</v>
      </c>
      <c r="G120" s="31">
        <v>0.8340277777777777</v>
      </c>
      <c r="H120" s="31">
        <v>0.18194444444444444</v>
      </c>
      <c r="I120" s="31">
        <v>0.80694444444444446</v>
      </c>
      <c r="J120" s="31">
        <v>0.49444444444444446</v>
      </c>
      <c r="K120" s="30">
        <f>((K125-K95)/30)+K119</f>
        <v>67.166666666666615</v>
      </c>
      <c r="L120" s="30">
        <f>((L125-L95)/30)+L119</f>
        <v>55.499999999999929</v>
      </c>
      <c r="M120" s="90">
        <v>53.899999999999928</v>
      </c>
      <c r="N120" s="89">
        <f t="shared" si="20"/>
        <v>38.616666666666646</v>
      </c>
      <c r="O120" s="106">
        <f t="shared" si="21"/>
        <v>42.166666666666714</v>
      </c>
      <c r="P120" s="108">
        <v>39.199999999999989</v>
      </c>
      <c r="Q120" s="108">
        <v>11.16666666666667</v>
      </c>
      <c r="R120" s="107">
        <v>27.666666666666661</v>
      </c>
      <c r="S120" s="41" t="s">
        <v>435</v>
      </c>
      <c r="T120" s="41" t="s">
        <v>431</v>
      </c>
      <c r="U120" s="33"/>
      <c r="V120" s="44">
        <v>117</v>
      </c>
      <c r="W120" s="46">
        <f t="shared" si="24"/>
        <v>5.0625000000000018</v>
      </c>
      <c r="X120" s="46">
        <f t="shared" si="22"/>
        <v>7.9090909090909074</v>
      </c>
      <c r="Y120" s="46">
        <f t="shared" si="23"/>
        <v>10.624999999999989</v>
      </c>
      <c r="Z120" s="46">
        <f t="shared" si="25"/>
        <v>12.833333333333309</v>
      </c>
      <c r="AA120" s="46">
        <f t="shared" si="26"/>
        <v>25.666666666666622</v>
      </c>
      <c r="AC120" s="44">
        <v>117</v>
      </c>
      <c r="AD120" s="46">
        <v>25</v>
      </c>
      <c r="AE120" s="46">
        <v>25</v>
      </c>
      <c r="AF120" s="46">
        <v>25</v>
      </c>
      <c r="AG120" s="46">
        <v>25</v>
      </c>
      <c r="AH120" s="46">
        <v>25</v>
      </c>
    </row>
    <row r="121" spans="1:34" ht="15.95" customHeight="1" x14ac:dyDescent="0.25">
      <c r="A121" s="29" t="s">
        <v>158</v>
      </c>
      <c r="B121" s="31">
        <v>0.20208333333333331</v>
      </c>
      <c r="C121" s="31">
        <v>0.78611111111111109</v>
      </c>
      <c r="D121" s="31">
        <v>0.125</v>
      </c>
      <c r="E121" s="31">
        <v>0.86388888888888893</v>
      </c>
      <c r="F121" s="31">
        <v>0.15416666666666667</v>
      </c>
      <c r="G121" s="31">
        <v>0.83472222222222225</v>
      </c>
      <c r="H121" s="31">
        <v>0.18055555555555555</v>
      </c>
      <c r="I121" s="31">
        <v>0.80833333333333324</v>
      </c>
      <c r="J121" s="31">
        <v>0.49374999999999997</v>
      </c>
      <c r="K121" s="30">
        <f>((K125-K95)/30)+K120</f>
        <v>67.533333333333275</v>
      </c>
      <c r="L121" s="30">
        <f>((L125-L95)/30)+L120</f>
        <v>55.799999999999926</v>
      </c>
      <c r="M121" s="90">
        <v>54.199999999999925</v>
      </c>
      <c r="N121" s="89">
        <f t="shared" si="20"/>
        <v>39.133333333333312</v>
      </c>
      <c r="O121" s="106">
        <f t="shared" si="21"/>
        <v>42.133333333333383</v>
      </c>
      <c r="P121" s="108">
        <v>39.559999999999988</v>
      </c>
      <c r="Q121" s="108">
        <v>11.133333333333336</v>
      </c>
      <c r="R121" s="107">
        <v>27.733333333333327</v>
      </c>
      <c r="S121" s="41" t="s">
        <v>435</v>
      </c>
      <c r="T121" s="41" t="s">
        <v>431</v>
      </c>
      <c r="U121" s="33"/>
      <c r="V121" s="44">
        <v>118</v>
      </c>
      <c r="W121" s="46">
        <f t="shared" si="24"/>
        <v>5.1250000000000018</v>
      </c>
      <c r="X121" s="46">
        <f t="shared" si="22"/>
        <v>7.9999999999999982</v>
      </c>
      <c r="Y121" s="46">
        <f t="shared" si="23"/>
        <v>10.749999999999989</v>
      </c>
      <c r="Z121" s="46">
        <f t="shared" si="25"/>
        <v>12.999999999999975</v>
      </c>
      <c r="AA121" s="46">
        <f t="shared" si="26"/>
        <v>25.999999999999954</v>
      </c>
      <c r="AC121" s="44">
        <v>118</v>
      </c>
      <c r="AD121" s="46">
        <v>25</v>
      </c>
      <c r="AE121" s="46">
        <v>25</v>
      </c>
      <c r="AF121" s="46">
        <v>25</v>
      </c>
      <c r="AG121" s="46">
        <v>25</v>
      </c>
      <c r="AH121" s="46">
        <v>25</v>
      </c>
    </row>
    <row r="122" spans="1:34" ht="15.95" customHeight="1" x14ac:dyDescent="0.25">
      <c r="A122" s="29" t="s">
        <v>159</v>
      </c>
      <c r="B122" s="31">
        <v>0.20138888888888887</v>
      </c>
      <c r="C122" s="31">
        <v>0.78749999999999998</v>
      </c>
      <c r="D122" s="31">
        <v>0.12361111111111112</v>
      </c>
      <c r="E122" s="31">
        <v>0.8652777777777777</v>
      </c>
      <c r="F122" s="31">
        <v>0.15277777777777776</v>
      </c>
      <c r="G122" s="31">
        <v>0.83611111111111114</v>
      </c>
      <c r="H122" s="31">
        <v>0.17916666666666667</v>
      </c>
      <c r="I122" s="31">
        <v>0.80902777777777779</v>
      </c>
      <c r="J122" s="31">
        <v>0.49374999999999997</v>
      </c>
      <c r="K122" s="30">
        <f>((K125-K95)/30)+K121</f>
        <v>67.899999999999935</v>
      </c>
      <c r="L122" s="30">
        <f>((L125-L95)/30)+L121</f>
        <v>56.099999999999923</v>
      </c>
      <c r="M122" s="90">
        <v>54.499999999999922</v>
      </c>
      <c r="N122" s="89">
        <f t="shared" si="20"/>
        <v>39.649999999999977</v>
      </c>
      <c r="O122" s="106">
        <f t="shared" si="21"/>
        <v>42.100000000000051</v>
      </c>
      <c r="P122" s="108">
        <v>39.919999999999987</v>
      </c>
      <c r="Q122" s="108">
        <v>11.100000000000003</v>
      </c>
      <c r="R122" s="107">
        <v>27.799999999999994</v>
      </c>
      <c r="S122" s="41" t="s">
        <v>435</v>
      </c>
      <c r="T122" s="41" t="s">
        <v>431</v>
      </c>
      <c r="U122" s="33"/>
      <c r="V122" s="44">
        <v>119</v>
      </c>
      <c r="W122" s="46">
        <f t="shared" si="24"/>
        <v>5.1875000000000018</v>
      </c>
      <c r="X122" s="46">
        <f t="shared" si="22"/>
        <v>8.0909090909090899</v>
      </c>
      <c r="Y122" s="46">
        <f t="shared" si="23"/>
        <v>10.874999999999989</v>
      </c>
      <c r="Z122" s="46">
        <f t="shared" si="25"/>
        <v>13.166666666666641</v>
      </c>
      <c r="AA122" s="46">
        <f t="shared" si="26"/>
        <v>26.333333333333286</v>
      </c>
      <c r="AC122" s="44">
        <v>119</v>
      </c>
      <c r="AD122" s="46">
        <v>25</v>
      </c>
      <c r="AE122" s="46">
        <v>25</v>
      </c>
      <c r="AF122" s="46">
        <v>25</v>
      </c>
      <c r="AG122" s="46">
        <v>25</v>
      </c>
      <c r="AH122" s="46">
        <v>25</v>
      </c>
    </row>
    <row r="123" spans="1:34" ht="15.95" customHeight="1" x14ac:dyDescent="0.25">
      <c r="A123" s="29" t="s">
        <v>160</v>
      </c>
      <c r="B123" s="31">
        <v>0.19999999999999998</v>
      </c>
      <c r="C123" s="31">
        <v>0.78819444444444453</v>
      </c>
      <c r="D123" s="31">
        <v>0.12222222222222223</v>
      </c>
      <c r="E123" s="31">
        <v>0.8666666666666667</v>
      </c>
      <c r="F123" s="31">
        <v>0.15138888888888888</v>
      </c>
      <c r="G123" s="31">
        <v>0.83680555555555547</v>
      </c>
      <c r="H123" s="31">
        <v>0.17847222222222223</v>
      </c>
      <c r="I123" s="31">
        <v>0.80972222222222223</v>
      </c>
      <c r="J123" s="31">
        <v>0.49374999999999997</v>
      </c>
      <c r="K123" s="30">
        <f>((K125-K95)/30)+K122</f>
        <v>68.266666666666595</v>
      </c>
      <c r="L123" s="30">
        <f>((L125-L95)/30)+L122</f>
        <v>56.39999999999992</v>
      </c>
      <c r="M123" s="90">
        <v>54.799999999999919</v>
      </c>
      <c r="N123" s="89">
        <f t="shared" si="20"/>
        <v>40.166666666666643</v>
      </c>
      <c r="O123" s="106">
        <f t="shared" si="21"/>
        <v>42.06666666666672</v>
      </c>
      <c r="P123" s="108">
        <v>40.279999999999987</v>
      </c>
      <c r="Q123" s="108">
        <v>11.06666666666667</v>
      </c>
      <c r="R123" s="107">
        <v>27.86666666666666</v>
      </c>
      <c r="S123" s="41" t="s">
        <v>435</v>
      </c>
      <c r="T123" s="41" t="s">
        <v>431</v>
      </c>
      <c r="U123" s="33"/>
      <c r="V123" s="44">
        <v>120</v>
      </c>
      <c r="W123" s="46">
        <f t="shared" si="24"/>
        <v>5.2500000000000018</v>
      </c>
      <c r="X123" s="46">
        <f t="shared" si="22"/>
        <v>8.1818181818181817</v>
      </c>
      <c r="Y123" s="46">
        <f t="shared" si="23"/>
        <v>10.999999999999989</v>
      </c>
      <c r="Z123" s="46">
        <f t="shared" si="25"/>
        <v>13.333333333333307</v>
      </c>
      <c r="AA123" s="46">
        <f t="shared" si="26"/>
        <v>26.666666666666618</v>
      </c>
      <c r="AC123" s="44">
        <v>120</v>
      </c>
      <c r="AD123" s="46">
        <v>25</v>
      </c>
      <c r="AE123" s="46">
        <v>25</v>
      </c>
      <c r="AF123" s="46">
        <v>25</v>
      </c>
      <c r="AG123" s="46">
        <v>25</v>
      </c>
      <c r="AH123" s="46">
        <v>25</v>
      </c>
    </row>
    <row r="124" spans="1:34" ht="15.95" customHeight="1" x14ac:dyDescent="0.25">
      <c r="A124" s="29" t="s">
        <v>161</v>
      </c>
      <c r="B124" s="31">
        <v>0.19930555555555554</v>
      </c>
      <c r="C124" s="31">
        <v>0.78888888888888886</v>
      </c>
      <c r="D124" s="31">
        <v>0.12083333333333333</v>
      </c>
      <c r="E124" s="31">
        <v>0.86805555555555547</v>
      </c>
      <c r="F124" s="31">
        <v>0.15069444444444444</v>
      </c>
      <c r="G124" s="31">
        <v>0.83819444444444446</v>
      </c>
      <c r="H124" s="31">
        <v>0.17708333333333334</v>
      </c>
      <c r="I124" s="31">
        <v>0.81111111111111101</v>
      </c>
      <c r="J124" s="31">
        <v>0.49374999999999997</v>
      </c>
      <c r="K124" s="30">
        <f>((K125-K95)/30)+K123</f>
        <v>68.633333333333255</v>
      </c>
      <c r="L124" s="30">
        <f>((L125-L95)/30)+L123</f>
        <v>56.699999999999918</v>
      </c>
      <c r="M124" s="90">
        <v>55.099999999999916</v>
      </c>
      <c r="N124" s="89">
        <f t="shared" si="20"/>
        <v>40.683333333333309</v>
      </c>
      <c r="O124" s="106">
        <f t="shared" si="21"/>
        <v>42.033333333333388</v>
      </c>
      <c r="P124" s="108">
        <v>40.639999999999986</v>
      </c>
      <c r="Q124" s="108">
        <v>11.033333333333337</v>
      </c>
      <c r="R124" s="107">
        <v>27.933333333333326</v>
      </c>
      <c r="S124" s="41" t="s">
        <v>435</v>
      </c>
      <c r="T124" s="41" t="s">
        <v>431</v>
      </c>
      <c r="U124" s="33"/>
      <c r="V124" s="44">
        <v>121</v>
      </c>
      <c r="W124" s="46">
        <f t="shared" si="24"/>
        <v>5.3125000000000018</v>
      </c>
      <c r="X124" s="46">
        <f t="shared" si="22"/>
        <v>8.2727272727272734</v>
      </c>
      <c r="Y124" s="46">
        <f t="shared" si="23"/>
        <v>11.124999999999989</v>
      </c>
      <c r="Z124" s="46">
        <f t="shared" si="25"/>
        <v>13.499999999999973</v>
      </c>
      <c r="AA124" s="46">
        <f t="shared" si="26"/>
        <v>26.99999999999995</v>
      </c>
      <c r="AC124" s="44">
        <v>121</v>
      </c>
      <c r="AD124" s="46">
        <v>25</v>
      </c>
      <c r="AE124" s="46">
        <v>25</v>
      </c>
      <c r="AF124" s="46">
        <v>25</v>
      </c>
      <c r="AG124" s="46">
        <v>25</v>
      </c>
      <c r="AH124" s="46">
        <v>25</v>
      </c>
    </row>
    <row r="125" spans="1:34" ht="15.95" customHeight="1" x14ac:dyDescent="0.25">
      <c r="A125" s="29" t="s">
        <v>162</v>
      </c>
      <c r="B125" s="31">
        <v>0.19791666666666666</v>
      </c>
      <c r="C125" s="31">
        <v>0.7895833333333333</v>
      </c>
      <c r="D125" s="31">
        <v>0.11944444444444445</v>
      </c>
      <c r="E125" s="31">
        <v>0.86875000000000002</v>
      </c>
      <c r="F125" s="31">
        <v>0.14930555555555555</v>
      </c>
      <c r="G125" s="31">
        <v>0.83888888888888891</v>
      </c>
      <c r="H125" s="31">
        <v>0.1763888888888889</v>
      </c>
      <c r="I125" s="31">
        <v>0.81180555555555556</v>
      </c>
      <c r="J125" s="31">
        <v>0.49374999999999997</v>
      </c>
      <c r="K125" s="30">
        <v>69</v>
      </c>
      <c r="L125" s="30">
        <v>57</v>
      </c>
      <c r="M125" s="90">
        <v>55.4</v>
      </c>
      <c r="N125" s="89">
        <v>41.2</v>
      </c>
      <c r="O125" s="106">
        <v>42</v>
      </c>
      <c r="P125" s="108">
        <v>41</v>
      </c>
      <c r="Q125" s="108">
        <v>11</v>
      </c>
      <c r="R125" s="107">
        <v>28</v>
      </c>
      <c r="S125" s="41" t="s">
        <v>435</v>
      </c>
      <c r="T125" s="41" t="s">
        <v>435</v>
      </c>
      <c r="U125" s="33"/>
      <c r="V125" s="44">
        <v>122</v>
      </c>
      <c r="W125" s="46">
        <f t="shared" si="24"/>
        <v>5.3750000000000018</v>
      </c>
      <c r="X125" s="46">
        <f t="shared" si="22"/>
        <v>8.3636363636363651</v>
      </c>
      <c r="Y125" s="46">
        <f t="shared" si="23"/>
        <v>11.249999999999989</v>
      </c>
      <c r="Z125" s="46">
        <f t="shared" si="25"/>
        <v>13.666666666666639</v>
      </c>
      <c r="AA125" s="46">
        <f t="shared" si="26"/>
        <v>27.333333333333282</v>
      </c>
      <c r="AC125" s="44">
        <v>122</v>
      </c>
      <c r="AD125" s="46">
        <v>25</v>
      </c>
      <c r="AE125" s="46">
        <v>25</v>
      </c>
      <c r="AF125" s="46">
        <v>25</v>
      </c>
      <c r="AG125" s="46">
        <v>25</v>
      </c>
      <c r="AH125" s="46">
        <v>25</v>
      </c>
    </row>
    <row r="126" spans="1:34" ht="15.95" customHeight="1" x14ac:dyDescent="0.25">
      <c r="A126" s="29" t="s">
        <v>163</v>
      </c>
      <c r="B126" s="31">
        <v>0.19722222222222222</v>
      </c>
      <c r="C126" s="31">
        <v>0.79027777777777775</v>
      </c>
      <c r="D126" s="31">
        <v>0.11805555555555557</v>
      </c>
      <c r="E126" s="31">
        <v>0.87013888888888891</v>
      </c>
      <c r="F126" s="31">
        <v>0.14791666666666667</v>
      </c>
      <c r="G126" s="31">
        <v>0.84027777777777779</v>
      </c>
      <c r="H126" s="31">
        <v>0.17500000000000002</v>
      </c>
      <c r="I126" s="31">
        <v>0.8125</v>
      </c>
      <c r="J126" s="31">
        <v>0.49374999999999997</v>
      </c>
      <c r="K126" s="30">
        <f>((K156-K125)/31)+K125</f>
        <v>69.322580645161295</v>
      </c>
      <c r="L126" s="30">
        <f>((L156-L125)/31)+L125</f>
        <v>57.258064516129032</v>
      </c>
      <c r="M126" s="90">
        <v>55.748387096774195</v>
      </c>
      <c r="N126" s="89">
        <f>((($N$156-$N$125)/31)+N125)</f>
        <v>41.116129032258065</v>
      </c>
      <c r="O126" s="106">
        <f>(($O$156-$O$125)/31)+O125</f>
        <v>41.806451612903224</v>
      </c>
      <c r="P126" s="108">
        <v>41.29032258064516</v>
      </c>
      <c r="Q126" s="108">
        <v>10.96774193548387</v>
      </c>
      <c r="R126" s="107">
        <v>28.096774193548388</v>
      </c>
      <c r="S126" s="41" t="s">
        <v>435</v>
      </c>
      <c r="T126" s="41" t="s">
        <v>435</v>
      </c>
      <c r="U126" s="33"/>
      <c r="V126" s="44">
        <v>123</v>
      </c>
      <c r="W126" s="46">
        <f t="shared" si="24"/>
        <v>5.4375000000000018</v>
      </c>
      <c r="X126" s="46">
        <f t="shared" si="22"/>
        <v>8.4545454545454568</v>
      </c>
      <c r="Y126" s="46">
        <f t="shared" si="23"/>
        <v>11.374999999999989</v>
      </c>
      <c r="Z126" s="46">
        <f t="shared" si="25"/>
        <v>13.833333333333306</v>
      </c>
      <c r="AA126" s="46">
        <f t="shared" si="26"/>
        <v>27.666666666666615</v>
      </c>
      <c r="AC126" s="44">
        <v>123</v>
      </c>
      <c r="AD126" s="46">
        <v>25</v>
      </c>
      <c r="AE126" s="46">
        <v>25</v>
      </c>
      <c r="AF126" s="46">
        <v>25</v>
      </c>
      <c r="AG126" s="46">
        <v>25</v>
      </c>
      <c r="AH126" s="46">
        <v>25</v>
      </c>
    </row>
    <row r="127" spans="1:34" ht="15.95" customHeight="1" x14ac:dyDescent="0.25">
      <c r="A127" s="29" t="s">
        <v>164</v>
      </c>
      <c r="B127" s="31">
        <v>0.19652777777777777</v>
      </c>
      <c r="C127" s="31">
        <v>0.7909722222222223</v>
      </c>
      <c r="D127" s="31">
        <v>0.11666666666666665</v>
      </c>
      <c r="E127" s="31">
        <v>0.87152777777777779</v>
      </c>
      <c r="F127" s="31">
        <v>0.14652777777777778</v>
      </c>
      <c r="G127" s="31">
        <v>0.84097222222222223</v>
      </c>
      <c r="H127" s="31">
        <v>0.17430555555555557</v>
      </c>
      <c r="I127" s="31">
        <v>0.81319444444444444</v>
      </c>
      <c r="J127" s="31">
        <v>0.49374999999999997</v>
      </c>
      <c r="K127" s="30">
        <f>((K156-K125)/31)+K126</f>
        <v>69.645161290322591</v>
      </c>
      <c r="L127" s="30">
        <f>((L156-L125)/31)+L126</f>
        <v>57.516129032258064</v>
      </c>
      <c r="M127" s="90">
        <v>56.096774193548391</v>
      </c>
      <c r="N127" s="89">
        <f>((($N$156-$N$125)/31)+N126)</f>
        <v>41.032258064516128</v>
      </c>
      <c r="O127" s="106">
        <f t="shared" ref="O127:O155" si="27">(($O$156-$O$125)/31)+O126</f>
        <v>41.612903225806448</v>
      </c>
      <c r="P127" s="108">
        <v>41.58064516129032</v>
      </c>
      <c r="Q127" s="108">
        <v>10.93548387096774</v>
      </c>
      <c r="R127" s="107">
        <v>28.193548387096776</v>
      </c>
      <c r="S127" s="41" t="s">
        <v>435</v>
      </c>
      <c r="T127" s="41" t="s">
        <v>435</v>
      </c>
      <c r="U127" s="33"/>
      <c r="V127" s="44">
        <v>124</v>
      </c>
      <c r="W127" s="46">
        <f t="shared" si="24"/>
        <v>5.5000000000000018</v>
      </c>
      <c r="X127" s="46">
        <f t="shared" si="22"/>
        <v>8.5454545454545485</v>
      </c>
      <c r="Y127" s="46">
        <f t="shared" si="23"/>
        <v>11.499999999999989</v>
      </c>
      <c r="Z127" s="46">
        <f t="shared" si="25"/>
        <v>13.999999999999972</v>
      </c>
      <c r="AA127" s="46">
        <f t="shared" si="26"/>
        <v>27.999999999999947</v>
      </c>
      <c r="AC127" s="44">
        <v>124</v>
      </c>
      <c r="AD127" s="46">
        <v>25</v>
      </c>
      <c r="AE127" s="46">
        <v>25</v>
      </c>
      <c r="AF127" s="46">
        <v>25</v>
      </c>
      <c r="AG127" s="46">
        <v>25</v>
      </c>
      <c r="AH127" s="46">
        <v>25</v>
      </c>
    </row>
    <row r="128" spans="1:34" ht="15.95" customHeight="1" x14ac:dyDescent="0.25">
      <c r="A128" s="29" t="s">
        <v>165</v>
      </c>
      <c r="B128" s="31">
        <v>0.19513888888888889</v>
      </c>
      <c r="C128" s="31">
        <v>0.79236111111111107</v>
      </c>
      <c r="D128" s="31">
        <v>0.11527777777777777</v>
      </c>
      <c r="E128" s="31">
        <v>0.87291666666666667</v>
      </c>
      <c r="F128" s="31">
        <v>0.14583333333333334</v>
      </c>
      <c r="G128" s="31">
        <v>0.84166666666666667</v>
      </c>
      <c r="H128" s="31">
        <v>0.17291666666666669</v>
      </c>
      <c r="I128" s="31">
        <v>0.81458333333333333</v>
      </c>
      <c r="J128" s="31">
        <v>0.49374999999999997</v>
      </c>
      <c r="K128" s="30">
        <f>((K156-K125)/31)+K127</f>
        <v>69.967741935483886</v>
      </c>
      <c r="L128" s="30">
        <f>((L156-L125)/31)+L127</f>
        <v>57.774193548387096</v>
      </c>
      <c r="M128" s="90">
        <v>56.445161290322588</v>
      </c>
      <c r="N128" s="89">
        <f t="shared" ref="N128:N155" si="28">((($N$156-$N$125)/31)+N127)</f>
        <v>40.948387096774191</v>
      </c>
      <c r="O128" s="106">
        <f t="shared" si="27"/>
        <v>41.419354838709673</v>
      </c>
      <c r="P128" s="108">
        <v>41.87096774193548</v>
      </c>
      <c r="Q128" s="108">
        <v>10.90322580645161</v>
      </c>
      <c r="R128" s="107">
        <v>28.290322580645164</v>
      </c>
      <c r="S128" s="41" t="s">
        <v>435</v>
      </c>
      <c r="T128" s="41" t="s">
        <v>435</v>
      </c>
      <c r="U128" s="33"/>
      <c r="V128" s="44">
        <v>125</v>
      </c>
      <c r="W128" s="46">
        <f t="shared" si="24"/>
        <v>5.5625000000000018</v>
      </c>
      <c r="X128" s="46">
        <f t="shared" si="22"/>
        <v>8.6363636363636402</v>
      </c>
      <c r="Y128" s="46">
        <f t="shared" si="23"/>
        <v>11.624999999999989</v>
      </c>
      <c r="Z128" s="46">
        <f t="shared" si="25"/>
        <v>14.166666666666638</v>
      </c>
      <c r="AA128" s="46">
        <f t="shared" si="26"/>
        <v>28.333333333333279</v>
      </c>
      <c r="AC128" s="44">
        <v>125</v>
      </c>
      <c r="AD128" s="46">
        <v>25</v>
      </c>
      <c r="AE128" s="46">
        <v>25</v>
      </c>
      <c r="AF128" s="46">
        <v>25</v>
      </c>
      <c r="AG128" s="46">
        <v>25</v>
      </c>
      <c r="AH128" s="46">
        <v>25</v>
      </c>
    </row>
    <row r="129" spans="1:34" ht="15.95" customHeight="1" x14ac:dyDescent="0.25">
      <c r="A129" s="29" t="s">
        <v>166</v>
      </c>
      <c r="B129" s="31">
        <v>0.19444444444444445</v>
      </c>
      <c r="C129" s="31">
        <v>0.79305555555555562</v>
      </c>
      <c r="D129" s="31">
        <v>0.11388888888888889</v>
      </c>
      <c r="E129" s="31">
        <v>0.87430555555555556</v>
      </c>
      <c r="F129" s="31">
        <v>0.14444444444444446</v>
      </c>
      <c r="G129" s="31">
        <v>0.84305555555555556</v>
      </c>
      <c r="H129" s="31">
        <v>0.17222222222222225</v>
      </c>
      <c r="I129" s="31">
        <v>0.81527777777777777</v>
      </c>
      <c r="J129" s="31">
        <v>0.49305555555555558</v>
      </c>
      <c r="K129" s="30">
        <f>((K156-K125)/31)+K128</f>
        <v>70.290322580645181</v>
      </c>
      <c r="L129" s="30">
        <f>((L156-L125)/31)+L128</f>
        <v>58.032258064516128</v>
      </c>
      <c r="M129" s="90">
        <v>56.793548387096784</v>
      </c>
      <c r="N129" s="89">
        <f t="shared" si="28"/>
        <v>40.864516129032253</v>
      </c>
      <c r="O129" s="106">
        <f t="shared" si="27"/>
        <v>41.225806451612897</v>
      </c>
      <c r="P129" s="108">
        <v>42.161290322580641</v>
      </c>
      <c r="Q129" s="108">
        <v>10.87096774193548</v>
      </c>
      <c r="R129" s="107">
        <v>28.387096774193552</v>
      </c>
      <c r="S129" s="41" t="s">
        <v>435</v>
      </c>
      <c r="T129" s="41" t="s">
        <v>435</v>
      </c>
      <c r="U129" s="33"/>
      <c r="V129" s="44">
        <v>126</v>
      </c>
      <c r="W129" s="46">
        <f t="shared" si="24"/>
        <v>5.6250000000000018</v>
      </c>
      <c r="X129" s="46">
        <f t="shared" si="22"/>
        <v>8.727272727272732</v>
      </c>
      <c r="Y129" s="46">
        <f t="shared" si="23"/>
        <v>11.749999999999989</v>
      </c>
      <c r="Z129" s="46">
        <f t="shared" si="25"/>
        <v>14.333333333333304</v>
      </c>
      <c r="AA129" s="46">
        <f t="shared" si="26"/>
        <v>28.666666666666611</v>
      </c>
      <c r="AC129" s="44">
        <v>126</v>
      </c>
      <c r="AD129" s="46">
        <v>25</v>
      </c>
      <c r="AE129" s="46">
        <v>25</v>
      </c>
      <c r="AF129" s="46">
        <v>25</v>
      </c>
      <c r="AG129" s="46">
        <v>25</v>
      </c>
      <c r="AH129" s="46">
        <v>25</v>
      </c>
    </row>
    <row r="130" spans="1:34" ht="15.95" customHeight="1" x14ac:dyDescent="0.25">
      <c r="A130" s="29" t="s">
        <v>167</v>
      </c>
      <c r="B130" s="31">
        <v>0.19375000000000001</v>
      </c>
      <c r="C130" s="31">
        <v>0.79375000000000007</v>
      </c>
      <c r="D130" s="31">
        <v>0.1125</v>
      </c>
      <c r="E130" s="31">
        <v>0.87569444444444444</v>
      </c>
      <c r="F130" s="31">
        <v>0.14305555555555557</v>
      </c>
      <c r="G130" s="31">
        <v>0.84375</v>
      </c>
      <c r="H130" s="31">
        <v>0.17083333333333331</v>
      </c>
      <c r="I130" s="31">
        <v>0.81597222222222221</v>
      </c>
      <c r="J130" s="31">
        <v>0.49305555555555558</v>
      </c>
      <c r="K130" s="30">
        <f>((K156-K125)/31)+K129</f>
        <v>70.612903225806477</v>
      </c>
      <c r="L130" s="30">
        <f>((L156-L125)/31)+L129</f>
        <v>58.29032258064516</v>
      </c>
      <c r="M130" s="90">
        <v>57.141935483870981</v>
      </c>
      <c r="N130" s="89">
        <f t="shared" si="28"/>
        <v>40.780645161290316</v>
      </c>
      <c r="O130" s="106">
        <f t="shared" si="27"/>
        <v>41.032258064516121</v>
      </c>
      <c r="P130" s="108">
        <v>42.451612903225801</v>
      </c>
      <c r="Q130" s="108">
        <v>10.838709677419351</v>
      </c>
      <c r="R130" s="107">
        <v>28.483870967741939</v>
      </c>
      <c r="S130" s="41" t="s">
        <v>435</v>
      </c>
      <c r="T130" s="41" t="s">
        <v>435</v>
      </c>
      <c r="U130" s="33"/>
      <c r="V130" s="44">
        <v>127</v>
      </c>
      <c r="W130" s="46">
        <f t="shared" si="24"/>
        <v>5.6875000000000018</v>
      </c>
      <c r="X130" s="46">
        <f t="shared" si="22"/>
        <v>8.8181818181818237</v>
      </c>
      <c r="Y130" s="46">
        <f t="shared" si="23"/>
        <v>11.874999999999989</v>
      </c>
      <c r="Z130" s="46">
        <f t="shared" si="25"/>
        <v>14.49999999999997</v>
      </c>
      <c r="AA130" s="46">
        <f t="shared" si="26"/>
        <v>28.999999999999943</v>
      </c>
      <c r="AC130" s="44">
        <v>127</v>
      </c>
      <c r="AD130" s="46">
        <v>25</v>
      </c>
      <c r="AE130" s="46">
        <v>25</v>
      </c>
      <c r="AF130" s="46">
        <v>25</v>
      </c>
      <c r="AG130" s="46">
        <v>25</v>
      </c>
      <c r="AH130" s="46">
        <v>25</v>
      </c>
    </row>
    <row r="131" spans="1:34" ht="15.95" customHeight="1" x14ac:dyDescent="0.25">
      <c r="A131" s="29" t="s">
        <v>168</v>
      </c>
      <c r="B131" s="31">
        <v>0.19236111111111112</v>
      </c>
      <c r="C131" s="31">
        <v>0.7944444444444444</v>
      </c>
      <c r="D131" s="31">
        <v>0.1111111111111111</v>
      </c>
      <c r="E131" s="31">
        <v>0.87708333333333333</v>
      </c>
      <c r="F131" s="31">
        <v>0.1423611111111111</v>
      </c>
      <c r="G131" s="31">
        <v>0.84513888888888899</v>
      </c>
      <c r="H131" s="31">
        <v>0.17013888888888887</v>
      </c>
      <c r="I131" s="31">
        <v>0.81736111111111109</v>
      </c>
      <c r="J131" s="31">
        <v>0.49305555555555558</v>
      </c>
      <c r="K131" s="30">
        <f>((K156-K125)/31)+K130</f>
        <v>70.935483870967772</v>
      </c>
      <c r="L131" s="30">
        <f>((L156-L125)/31)+L130</f>
        <v>58.548387096774192</v>
      </c>
      <c r="M131" s="90">
        <v>57.490322580645177</v>
      </c>
      <c r="N131" s="89">
        <f t="shared" si="28"/>
        <v>40.696774193548379</v>
      </c>
      <c r="O131" s="106">
        <f t="shared" si="27"/>
        <v>40.838709677419345</v>
      </c>
      <c r="P131" s="108">
        <v>42.741935483870961</v>
      </c>
      <c r="Q131" s="108">
        <v>10.806451612903221</v>
      </c>
      <c r="R131" s="107">
        <v>28.580645161290327</v>
      </c>
      <c r="S131" s="41" t="s">
        <v>435</v>
      </c>
      <c r="T131" s="41" t="s">
        <v>435</v>
      </c>
      <c r="U131" s="33"/>
      <c r="V131" s="44">
        <v>128</v>
      </c>
      <c r="W131" s="46">
        <f t="shared" si="24"/>
        <v>5.7500000000000018</v>
      </c>
      <c r="X131" s="46">
        <f t="shared" si="22"/>
        <v>8.9090909090909154</v>
      </c>
      <c r="Y131" s="46">
        <f t="shared" si="23"/>
        <v>11.999999999999989</v>
      </c>
      <c r="Z131" s="46">
        <f t="shared" si="25"/>
        <v>14.666666666666636</v>
      </c>
      <c r="AA131" s="46">
        <f t="shared" si="26"/>
        <v>29.333333333333275</v>
      </c>
      <c r="AC131" s="44">
        <v>128</v>
      </c>
      <c r="AD131" s="46">
        <v>25</v>
      </c>
      <c r="AE131" s="46">
        <v>25</v>
      </c>
      <c r="AF131" s="46">
        <v>25</v>
      </c>
      <c r="AG131" s="46">
        <v>25</v>
      </c>
      <c r="AH131" s="46">
        <v>25</v>
      </c>
    </row>
    <row r="132" spans="1:34" ht="15.95" customHeight="1" x14ac:dyDescent="0.25">
      <c r="A132" s="29" t="s">
        <v>169</v>
      </c>
      <c r="B132" s="31">
        <v>0.19166666666666665</v>
      </c>
      <c r="C132" s="31">
        <v>0.79513888888888884</v>
      </c>
      <c r="D132" s="31">
        <v>0.10972222222222222</v>
      </c>
      <c r="E132" s="31">
        <v>0.87777777777777777</v>
      </c>
      <c r="F132" s="31">
        <v>0.14097222222222222</v>
      </c>
      <c r="G132" s="31">
        <v>0.84583333333333333</v>
      </c>
      <c r="H132" s="31">
        <v>0.16944444444444443</v>
      </c>
      <c r="I132" s="31">
        <v>0.81805555555555554</v>
      </c>
      <c r="J132" s="31">
        <v>0.49305555555555558</v>
      </c>
      <c r="K132" s="30">
        <f>((K156-K125)/31)+K131</f>
        <v>71.258064516129068</v>
      </c>
      <c r="L132" s="30">
        <f>((L156-L125)/31)+L131</f>
        <v>58.806451612903224</v>
      </c>
      <c r="M132" s="90">
        <v>57.838709677419374</v>
      </c>
      <c r="N132" s="89">
        <f t="shared" si="28"/>
        <v>40.612903225806441</v>
      </c>
      <c r="O132" s="106">
        <f t="shared" si="27"/>
        <v>40.645161290322569</v>
      </c>
      <c r="P132" s="108">
        <v>43.032258064516121</v>
      </c>
      <c r="Q132" s="108">
        <v>10.774193548387091</v>
      </c>
      <c r="R132" s="107">
        <v>28.677419354838715</v>
      </c>
      <c r="S132" s="41" t="s">
        <v>435</v>
      </c>
      <c r="T132" s="41" t="s">
        <v>435</v>
      </c>
      <c r="U132" s="33"/>
      <c r="V132" s="44">
        <v>129</v>
      </c>
      <c r="W132" s="46">
        <f t="shared" si="24"/>
        <v>5.8125000000000018</v>
      </c>
      <c r="X132" s="46">
        <f t="shared" si="22"/>
        <v>9.0000000000000071</v>
      </c>
      <c r="Y132" s="46">
        <f t="shared" si="23"/>
        <v>12.124999999999989</v>
      </c>
      <c r="Z132" s="46">
        <f t="shared" si="25"/>
        <v>14.833333333333302</v>
      </c>
      <c r="AA132" s="46">
        <f t="shared" si="26"/>
        <v>29.666666666666607</v>
      </c>
      <c r="AC132" s="44">
        <v>129</v>
      </c>
      <c r="AD132" s="46">
        <v>25</v>
      </c>
      <c r="AE132" s="46">
        <v>25</v>
      </c>
      <c r="AF132" s="46">
        <v>50</v>
      </c>
      <c r="AG132" s="46">
        <v>25</v>
      </c>
      <c r="AH132" s="46">
        <v>25</v>
      </c>
    </row>
    <row r="133" spans="1:34" ht="15.95" customHeight="1" x14ac:dyDescent="0.25">
      <c r="A133" s="29" t="s">
        <v>170</v>
      </c>
      <c r="B133" s="31">
        <v>0.19097222222222221</v>
      </c>
      <c r="C133" s="31">
        <v>0.79583333333333339</v>
      </c>
      <c r="D133" s="31">
        <v>0.10833333333333334</v>
      </c>
      <c r="E133" s="31">
        <v>0.87916666666666676</v>
      </c>
      <c r="F133" s="31">
        <v>0.14027777777777778</v>
      </c>
      <c r="G133" s="31">
        <v>0.84722222222222221</v>
      </c>
      <c r="H133" s="31">
        <v>0.16805555555555554</v>
      </c>
      <c r="I133" s="31">
        <v>0.81874999999999998</v>
      </c>
      <c r="J133" s="31">
        <v>0.49305555555555558</v>
      </c>
      <c r="K133" s="30">
        <f>((K156-K125)/31)+K132</f>
        <v>71.580645161290363</v>
      </c>
      <c r="L133" s="30">
        <f>((L156-L125)/31)+L132</f>
        <v>59.064516129032256</v>
      </c>
      <c r="M133" s="90">
        <v>58.18709677419357</v>
      </c>
      <c r="N133" s="89">
        <f t="shared" si="28"/>
        <v>40.529032258064504</v>
      </c>
      <c r="O133" s="106">
        <f t="shared" si="27"/>
        <v>40.451612903225794</v>
      </c>
      <c r="P133" s="108">
        <v>43.322580645161281</v>
      </c>
      <c r="Q133" s="108">
        <v>10.741935483870961</v>
      </c>
      <c r="R133" s="107">
        <v>28.774193548387103</v>
      </c>
      <c r="S133" s="41" t="s">
        <v>435</v>
      </c>
      <c r="T133" s="41" t="s">
        <v>435</v>
      </c>
      <c r="U133" s="33"/>
      <c r="V133" s="44">
        <v>130</v>
      </c>
      <c r="W133" s="46">
        <f t="shared" si="24"/>
        <v>5.8750000000000018</v>
      </c>
      <c r="X133" s="46">
        <f t="shared" si="22"/>
        <v>9.0909090909090988</v>
      </c>
      <c r="Y133" s="46">
        <f t="shared" si="23"/>
        <v>12.249999999999989</v>
      </c>
      <c r="Z133" s="46">
        <f t="shared" si="25"/>
        <v>14.999999999999968</v>
      </c>
      <c r="AA133" s="46">
        <f t="shared" si="26"/>
        <v>29.99999999999994</v>
      </c>
      <c r="AC133" s="44">
        <v>130</v>
      </c>
      <c r="AD133" s="46">
        <v>25</v>
      </c>
      <c r="AE133" s="46">
        <v>50</v>
      </c>
      <c r="AF133" s="46">
        <v>50</v>
      </c>
      <c r="AG133" s="46">
        <v>25</v>
      </c>
      <c r="AH133" s="46">
        <v>25</v>
      </c>
    </row>
    <row r="134" spans="1:34" ht="15.95" customHeight="1" x14ac:dyDescent="0.25">
      <c r="A134" s="29" t="s">
        <v>171</v>
      </c>
      <c r="B134" s="31">
        <v>0.19027777777777777</v>
      </c>
      <c r="C134" s="31">
        <v>0.79652777777777783</v>
      </c>
      <c r="D134" s="31">
        <v>0.10694444444444444</v>
      </c>
      <c r="E134" s="31">
        <v>0.88055555555555554</v>
      </c>
      <c r="F134" s="31">
        <v>0.1388888888888889</v>
      </c>
      <c r="G134" s="31">
        <v>0.84791666666666676</v>
      </c>
      <c r="H134" s="31">
        <v>0.1673611111111111</v>
      </c>
      <c r="I134" s="31">
        <v>0.81944444444444453</v>
      </c>
      <c r="J134" s="31">
        <v>0.49305555555555558</v>
      </c>
      <c r="K134" s="30">
        <f>((K156-K125)/31)+K133</f>
        <v>71.903225806451658</v>
      </c>
      <c r="L134" s="30">
        <f>((L156-L125)/31)+L133</f>
        <v>59.322580645161288</v>
      </c>
      <c r="M134" s="90">
        <v>58.535483870967767</v>
      </c>
      <c r="N134" s="89">
        <f t="shared" si="28"/>
        <v>40.445161290322567</v>
      </c>
      <c r="O134" s="106">
        <f t="shared" si="27"/>
        <v>40.258064516129018</v>
      </c>
      <c r="P134" s="108">
        <v>43.612903225806441</v>
      </c>
      <c r="Q134" s="108">
        <v>10.709677419354831</v>
      </c>
      <c r="R134" s="107">
        <v>28.870967741935491</v>
      </c>
      <c r="S134" s="41" t="s">
        <v>435</v>
      </c>
      <c r="T134" s="41" t="s">
        <v>435</v>
      </c>
      <c r="U134" s="33"/>
      <c r="V134" s="44">
        <v>131</v>
      </c>
      <c r="W134" s="46">
        <f t="shared" si="24"/>
        <v>5.9375000000000018</v>
      </c>
      <c r="X134" s="46">
        <f t="shared" si="22"/>
        <v>9.1818181818181905</v>
      </c>
      <c r="Y134" s="46">
        <f t="shared" si="23"/>
        <v>12.374999999999989</v>
      </c>
      <c r="Z134" s="46">
        <f t="shared" si="25"/>
        <v>15.166666666666634</v>
      </c>
      <c r="AA134" s="46">
        <f t="shared" si="26"/>
        <v>30.333333333333272</v>
      </c>
      <c r="AC134" s="44">
        <v>131</v>
      </c>
      <c r="AD134" s="46">
        <v>25</v>
      </c>
      <c r="AE134" s="46">
        <v>50</v>
      </c>
      <c r="AF134" s="46">
        <v>50</v>
      </c>
      <c r="AG134" s="46">
        <v>50</v>
      </c>
      <c r="AH134" s="46">
        <v>50</v>
      </c>
    </row>
    <row r="135" spans="1:34" ht="15.95" customHeight="1" x14ac:dyDescent="0.25">
      <c r="A135" s="29" t="s">
        <v>172</v>
      </c>
      <c r="B135" s="31">
        <v>0.18888888888888888</v>
      </c>
      <c r="C135" s="31">
        <v>0.79791666666666661</v>
      </c>
      <c r="D135" s="31">
        <v>0.10555555555555556</v>
      </c>
      <c r="E135" s="31">
        <v>0.88194444444444453</v>
      </c>
      <c r="F135" s="31">
        <v>0.13749999999999998</v>
      </c>
      <c r="G135" s="31">
        <v>0.84930555555555554</v>
      </c>
      <c r="H135" s="31">
        <v>0.16666666666666666</v>
      </c>
      <c r="I135" s="31">
        <v>0.8208333333333333</v>
      </c>
      <c r="J135" s="31">
        <v>0.49305555555555558</v>
      </c>
      <c r="K135" s="30">
        <f>((K156-K125)/31)+K134</f>
        <v>72.225806451612954</v>
      </c>
      <c r="L135" s="30">
        <f>((L156-L125)/31)+L134</f>
        <v>59.58064516129032</v>
      </c>
      <c r="M135" s="90">
        <v>58.883870967741963</v>
      </c>
      <c r="N135" s="89">
        <f t="shared" si="28"/>
        <v>40.361290322580629</v>
      </c>
      <c r="O135" s="106">
        <f t="shared" si="27"/>
        <v>40.064516129032242</v>
      </c>
      <c r="P135" s="108">
        <v>43.903225806451601</v>
      </c>
      <c r="Q135" s="108">
        <v>10.677419354838701</v>
      </c>
      <c r="R135" s="107">
        <v>28.967741935483879</v>
      </c>
      <c r="S135" s="41" t="s">
        <v>435</v>
      </c>
      <c r="T135" s="41" t="s">
        <v>435</v>
      </c>
      <c r="U135" s="33"/>
      <c r="V135" s="44">
        <v>132</v>
      </c>
      <c r="W135" s="46">
        <f t="shared" si="24"/>
        <v>6.0000000000000018</v>
      </c>
      <c r="X135" s="46">
        <f t="shared" si="22"/>
        <v>9.2727272727272823</v>
      </c>
      <c r="Y135" s="46">
        <f t="shared" si="23"/>
        <v>12.499999999999989</v>
      </c>
      <c r="Z135" s="46">
        <f t="shared" si="25"/>
        <v>15.3333333333333</v>
      </c>
      <c r="AA135" s="46">
        <f t="shared" si="26"/>
        <v>30.666666666666604</v>
      </c>
      <c r="AC135" s="44">
        <v>132</v>
      </c>
      <c r="AD135" s="46">
        <v>25</v>
      </c>
      <c r="AE135" s="46">
        <v>50</v>
      </c>
      <c r="AF135" s="46">
        <v>50</v>
      </c>
      <c r="AG135" s="46">
        <v>50</v>
      </c>
      <c r="AH135" s="46">
        <v>50</v>
      </c>
    </row>
    <row r="136" spans="1:34" ht="15.95" customHeight="1" x14ac:dyDescent="0.25">
      <c r="A136" s="29" t="s">
        <v>173</v>
      </c>
      <c r="B136" s="31">
        <v>0.18819444444444444</v>
      </c>
      <c r="C136" s="31">
        <v>0.79861111111111116</v>
      </c>
      <c r="D136" s="31">
        <v>0.10416666666666667</v>
      </c>
      <c r="E136" s="31">
        <v>0.8833333333333333</v>
      </c>
      <c r="F136" s="31">
        <v>0.13680555555555554</v>
      </c>
      <c r="G136" s="31">
        <v>0.85</v>
      </c>
      <c r="H136" s="31">
        <v>0.16527777777777777</v>
      </c>
      <c r="I136" s="31">
        <v>0.82152777777777775</v>
      </c>
      <c r="J136" s="31">
        <v>0.49305555555555558</v>
      </c>
      <c r="K136" s="30">
        <f>((K156-K125)/31)+K135</f>
        <v>72.548387096774249</v>
      </c>
      <c r="L136" s="30">
        <f>((L156-L125)/31)+L135</f>
        <v>59.838709677419352</v>
      </c>
      <c r="M136" s="90">
        <v>59.232258064516159</v>
      </c>
      <c r="N136" s="89">
        <f t="shared" si="28"/>
        <v>40.277419354838692</v>
      </c>
      <c r="O136" s="106">
        <f t="shared" si="27"/>
        <v>39.870967741935466</v>
      </c>
      <c r="P136" s="108">
        <v>44.193548387096762</v>
      </c>
      <c r="Q136" s="108">
        <v>10.645161290322571</v>
      </c>
      <c r="R136" s="107">
        <v>29.064516129032267</v>
      </c>
      <c r="S136" s="41" t="s">
        <v>435</v>
      </c>
      <c r="T136" s="41" t="s">
        <v>435</v>
      </c>
      <c r="U136" s="33"/>
      <c r="V136" s="44">
        <v>133</v>
      </c>
      <c r="W136" s="46">
        <f t="shared" si="24"/>
        <v>6.0625000000000018</v>
      </c>
      <c r="X136" s="46">
        <f t="shared" si="22"/>
        <v>9.363636363636374</v>
      </c>
      <c r="Y136" s="46">
        <f t="shared" si="23"/>
        <v>12.624999999999989</v>
      </c>
      <c r="Z136" s="46">
        <f t="shared" si="25"/>
        <v>15.499999999999966</v>
      </c>
      <c r="AA136" s="46">
        <f t="shared" si="26"/>
        <v>30.999999999999936</v>
      </c>
      <c r="AC136" s="44">
        <v>133</v>
      </c>
      <c r="AD136" s="46">
        <v>50</v>
      </c>
      <c r="AE136" s="46">
        <v>50</v>
      </c>
      <c r="AF136" s="46">
        <v>50</v>
      </c>
      <c r="AG136" s="46">
        <v>50</v>
      </c>
      <c r="AH136" s="46">
        <v>50</v>
      </c>
    </row>
    <row r="137" spans="1:34" ht="15.95" customHeight="1" x14ac:dyDescent="0.25">
      <c r="A137" s="29" t="s">
        <v>174</v>
      </c>
      <c r="B137" s="31">
        <v>0.1875</v>
      </c>
      <c r="C137" s="31">
        <v>0.7993055555555556</v>
      </c>
      <c r="D137" s="31">
        <v>0.10277777777777779</v>
      </c>
      <c r="E137" s="31">
        <v>0.8847222222222223</v>
      </c>
      <c r="F137" s="31">
        <v>0.1361111111111111</v>
      </c>
      <c r="G137" s="31">
        <v>0.85138888888888886</v>
      </c>
      <c r="H137" s="31">
        <v>0.16458333333333333</v>
      </c>
      <c r="I137" s="31">
        <v>0.8222222222222223</v>
      </c>
      <c r="J137" s="31">
        <v>0.49305555555555558</v>
      </c>
      <c r="K137" s="30">
        <f>((K156-K125)/31)+K136</f>
        <v>72.870967741935544</v>
      </c>
      <c r="L137" s="30">
        <f>((L156-L125)/31)+L136</f>
        <v>60.096774193548384</v>
      </c>
      <c r="M137" s="90">
        <v>59.580645161290356</v>
      </c>
      <c r="N137" s="89">
        <f t="shared" si="28"/>
        <v>40.193548387096754</v>
      </c>
      <c r="O137" s="106">
        <f t="shared" si="27"/>
        <v>39.67741935483869</v>
      </c>
      <c r="P137" s="108">
        <v>44.483870967741922</v>
      </c>
      <c r="Q137" s="108">
        <v>10.612903225806441</v>
      </c>
      <c r="R137" s="107">
        <v>29.161290322580655</v>
      </c>
      <c r="S137" s="41" t="s">
        <v>435</v>
      </c>
      <c r="T137" s="41" t="s">
        <v>435</v>
      </c>
      <c r="U137" s="33"/>
      <c r="V137" s="44">
        <v>134</v>
      </c>
      <c r="W137" s="46">
        <f t="shared" si="24"/>
        <v>6.1250000000000018</v>
      </c>
      <c r="X137" s="46">
        <f t="shared" si="22"/>
        <v>9.4545454545454657</v>
      </c>
      <c r="Y137" s="46">
        <f t="shared" si="23"/>
        <v>12.749999999999989</v>
      </c>
      <c r="Z137" s="46">
        <f t="shared" si="25"/>
        <v>15.666666666666632</v>
      </c>
      <c r="AA137" s="46">
        <f t="shared" si="26"/>
        <v>31.333333333333268</v>
      </c>
      <c r="AC137" s="44">
        <v>134</v>
      </c>
      <c r="AD137" s="46">
        <v>50</v>
      </c>
      <c r="AE137" s="46">
        <v>50</v>
      </c>
      <c r="AF137" s="46">
        <v>50</v>
      </c>
      <c r="AG137" s="46">
        <v>50</v>
      </c>
      <c r="AH137" s="46">
        <v>50</v>
      </c>
    </row>
    <row r="138" spans="1:34" ht="15.95" customHeight="1" x14ac:dyDescent="0.25">
      <c r="A138" s="29" t="s">
        <v>175</v>
      </c>
      <c r="B138" s="31">
        <v>0.18680555555555556</v>
      </c>
      <c r="C138" s="31">
        <v>0.79999999999999993</v>
      </c>
      <c r="D138" s="31">
        <v>0.1013888888888889</v>
      </c>
      <c r="E138" s="31">
        <v>0.88611111111111107</v>
      </c>
      <c r="F138" s="31">
        <v>0.13472222222222222</v>
      </c>
      <c r="G138" s="31">
        <v>0.8520833333333333</v>
      </c>
      <c r="H138" s="31">
        <v>0.16388888888888889</v>
      </c>
      <c r="I138" s="31">
        <v>0.82291666666666663</v>
      </c>
      <c r="J138" s="31">
        <v>0.49305555555555558</v>
      </c>
      <c r="K138" s="30">
        <f>((K156-K125)/31)+K137</f>
        <v>73.19354838709684</v>
      </c>
      <c r="L138" s="30">
        <f>((L156-L125)/31)+L137</f>
        <v>60.354838709677416</v>
      </c>
      <c r="M138" s="90">
        <v>59.929032258064552</v>
      </c>
      <c r="N138" s="89">
        <f t="shared" si="28"/>
        <v>40.109677419354817</v>
      </c>
      <c r="O138" s="106">
        <f t="shared" si="27"/>
        <v>39.483870967741915</v>
      </c>
      <c r="P138" s="108">
        <v>44.774193548387082</v>
      </c>
      <c r="Q138" s="108">
        <v>10.580645161290311</v>
      </c>
      <c r="R138" s="107">
        <v>29.258064516129043</v>
      </c>
      <c r="S138" s="41" t="s">
        <v>435</v>
      </c>
      <c r="T138" s="41" t="s">
        <v>435</v>
      </c>
      <c r="U138" s="33"/>
      <c r="V138" s="44">
        <v>135</v>
      </c>
      <c r="W138" s="46">
        <f t="shared" si="24"/>
        <v>6.1875000000000018</v>
      </c>
      <c r="X138" s="46">
        <f t="shared" si="22"/>
        <v>9.5454545454545574</v>
      </c>
      <c r="Y138" s="46">
        <f t="shared" si="23"/>
        <v>12.874999999999989</v>
      </c>
      <c r="Z138" s="46">
        <f t="shared" si="25"/>
        <v>15.833333333333298</v>
      </c>
      <c r="AA138" s="46">
        <f t="shared" si="26"/>
        <v>31.6666666666666</v>
      </c>
      <c r="AC138" s="44">
        <v>135</v>
      </c>
      <c r="AD138" s="46">
        <v>50</v>
      </c>
      <c r="AE138" s="46">
        <v>50</v>
      </c>
      <c r="AF138" s="46">
        <v>50</v>
      </c>
      <c r="AG138" s="46">
        <v>50</v>
      </c>
      <c r="AH138" s="46">
        <v>50</v>
      </c>
    </row>
    <row r="139" spans="1:34" ht="15.95" customHeight="1" x14ac:dyDescent="0.25">
      <c r="A139" s="29" t="s">
        <v>176</v>
      </c>
      <c r="B139" s="31">
        <v>0.18611111111111112</v>
      </c>
      <c r="C139" s="31">
        <v>0.80069444444444438</v>
      </c>
      <c r="D139" s="31">
        <v>9.9999999999999992E-2</v>
      </c>
      <c r="E139" s="31">
        <v>0.88680555555555562</v>
      </c>
      <c r="F139" s="31">
        <v>0.13402777777777777</v>
      </c>
      <c r="G139" s="31">
        <v>0.8534722222222223</v>
      </c>
      <c r="H139" s="31">
        <v>0.16319444444444445</v>
      </c>
      <c r="I139" s="31">
        <v>0.82361111111111107</v>
      </c>
      <c r="J139" s="31">
        <v>0.49305555555555558</v>
      </c>
      <c r="K139" s="30">
        <f>((K156-K125)/31)+K138</f>
        <v>73.516129032258135</v>
      </c>
      <c r="L139" s="30">
        <f>((L156-L125)/31)+L138</f>
        <v>60.612903225806448</v>
      </c>
      <c r="M139" s="90">
        <v>60.277419354838749</v>
      </c>
      <c r="N139" s="89">
        <f t="shared" si="28"/>
        <v>40.02580645161288</v>
      </c>
      <c r="O139" s="106">
        <f t="shared" si="27"/>
        <v>39.290322580645139</v>
      </c>
      <c r="P139" s="108">
        <v>45.064516129032242</v>
      </c>
      <c r="Q139" s="108">
        <v>10.548387096774182</v>
      </c>
      <c r="R139" s="107">
        <v>29.354838709677431</v>
      </c>
      <c r="S139" s="41" t="s">
        <v>435</v>
      </c>
      <c r="T139" s="41" t="s">
        <v>435</v>
      </c>
      <c r="U139" s="33"/>
      <c r="V139" s="44">
        <v>136</v>
      </c>
      <c r="W139" s="46">
        <f t="shared" si="24"/>
        <v>6.2500000000000018</v>
      </c>
      <c r="X139" s="46">
        <f t="shared" si="22"/>
        <v>9.6363636363636491</v>
      </c>
      <c r="Y139" s="46">
        <f t="shared" si="23"/>
        <v>12.999999999999989</v>
      </c>
      <c r="Z139" s="46">
        <f t="shared" si="25"/>
        <v>15.999999999999964</v>
      </c>
      <c r="AA139" s="46">
        <f t="shared" si="26"/>
        <v>31.999999999999932</v>
      </c>
      <c r="AC139" s="44">
        <v>136</v>
      </c>
      <c r="AD139" s="46">
        <v>50</v>
      </c>
      <c r="AE139" s="46">
        <v>50</v>
      </c>
      <c r="AF139" s="46">
        <v>50</v>
      </c>
      <c r="AG139" s="46">
        <v>50</v>
      </c>
      <c r="AH139" s="46">
        <v>50</v>
      </c>
    </row>
    <row r="140" spans="1:34" ht="15.95" customHeight="1" x14ac:dyDescent="0.25">
      <c r="A140" s="29" t="s">
        <v>177</v>
      </c>
      <c r="B140" s="31">
        <v>0.18541666666666667</v>
      </c>
      <c r="C140" s="31">
        <v>0.80138888888888893</v>
      </c>
      <c r="D140" s="31">
        <v>9.8611111111111108E-2</v>
      </c>
      <c r="E140" s="31">
        <v>0.8881944444444444</v>
      </c>
      <c r="F140" s="31">
        <v>0.13263888888888889</v>
      </c>
      <c r="G140" s="31">
        <v>0.85416666666666663</v>
      </c>
      <c r="H140" s="31">
        <v>0.16180555555555556</v>
      </c>
      <c r="I140" s="31">
        <v>0.82500000000000007</v>
      </c>
      <c r="J140" s="31">
        <v>0.49305555555555558</v>
      </c>
      <c r="K140" s="30">
        <f>((K156-K125)/31)+K139</f>
        <v>73.83870967741943</v>
      </c>
      <c r="L140" s="30">
        <f>((L156-L125)/31)+L139</f>
        <v>60.87096774193548</v>
      </c>
      <c r="M140" s="90">
        <v>60.625806451612945</v>
      </c>
      <c r="N140" s="89">
        <f t="shared" si="28"/>
        <v>39.941935483870942</v>
      </c>
      <c r="O140" s="106">
        <f t="shared" si="27"/>
        <v>39.096774193548363</v>
      </c>
      <c r="P140" s="108">
        <v>45.354838709677402</v>
      </c>
      <c r="Q140" s="108">
        <v>10.516129032258052</v>
      </c>
      <c r="R140" s="107">
        <v>29.451612903225818</v>
      </c>
      <c r="S140" s="41" t="s">
        <v>435</v>
      </c>
      <c r="T140" s="41" t="s">
        <v>435</v>
      </c>
      <c r="U140" s="33"/>
      <c r="V140" s="44">
        <v>137</v>
      </c>
      <c r="W140" s="46">
        <f t="shared" si="24"/>
        <v>6.3125000000000018</v>
      </c>
      <c r="X140" s="46">
        <f t="shared" si="22"/>
        <v>9.7272727272727408</v>
      </c>
      <c r="Y140" s="46">
        <f t="shared" si="23"/>
        <v>13.124999999999989</v>
      </c>
      <c r="Z140" s="46">
        <f t="shared" si="25"/>
        <v>16.166666666666632</v>
      </c>
      <c r="AA140" s="46">
        <f t="shared" si="26"/>
        <v>32.333333333333265</v>
      </c>
      <c r="AC140" s="44">
        <v>137</v>
      </c>
      <c r="AD140" s="46">
        <v>50</v>
      </c>
      <c r="AE140" s="46">
        <v>50</v>
      </c>
      <c r="AF140" s="46">
        <v>50</v>
      </c>
      <c r="AG140" s="46">
        <v>50</v>
      </c>
      <c r="AH140" s="46">
        <v>50</v>
      </c>
    </row>
    <row r="141" spans="1:34" ht="15.95" customHeight="1" x14ac:dyDescent="0.25">
      <c r="A141" s="29" t="s">
        <v>178</v>
      </c>
      <c r="B141" s="31">
        <v>0.18472222222222223</v>
      </c>
      <c r="C141" s="31">
        <v>0.80208333333333337</v>
      </c>
      <c r="D141" s="31">
        <v>9.7916666666666666E-2</v>
      </c>
      <c r="E141" s="31">
        <v>0.88958333333333339</v>
      </c>
      <c r="F141" s="31">
        <v>0.13194444444444445</v>
      </c>
      <c r="G141" s="31">
        <v>0.85486111111111107</v>
      </c>
      <c r="H141" s="31">
        <v>0.16111111111111112</v>
      </c>
      <c r="I141" s="31">
        <v>0.8256944444444444</v>
      </c>
      <c r="J141" s="31">
        <v>0.49305555555555558</v>
      </c>
      <c r="K141" s="30">
        <f>((K156-K125)/31)+K140</f>
        <v>74.161290322580726</v>
      </c>
      <c r="L141" s="30">
        <f>((L156-L125)/31)+L140</f>
        <v>61.129032258064512</v>
      </c>
      <c r="M141" s="90">
        <v>60.974193548387142</v>
      </c>
      <c r="N141" s="89">
        <f t="shared" si="28"/>
        <v>39.858064516129005</v>
      </c>
      <c r="O141" s="106">
        <f t="shared" si="27"/>
        <v>38.903225806451587</v>
      </c>
      <c r="P141" s="108">
        <v>45.645161290322562</v>
      </c>
      <c r="Q141" s="108">
        <v>10.483870967741922</v>
      </c>
      <c r="R141" s="107">
        <v>29.548387096774206</v>
      </c>
      <c r="S141" s="41" t="s">
        <v>435</v>
      </c>
      <c r="T141" s="41" t="s">
        <v>435</v>
      </c>
      <c r="U141" s="33"/>
      <c r="V141" s="44">
        <v>138</v>
      </c>
      <c r="W141" s="46">
        <f t="shared" si="24"/>
        <v>6.3750000000000018</v>
      </c>
      <c r="X141" s="46">
        <f t="shared" si="22"/>
        <v>9.8181818181818326</v>
      </c>
      <c r="Y141" s="46">
        <f t="shared" si="23"/>
        <v>13.249999999999989</v>
      </c>
      <c r="Z141" s="46">
        <f t="shared" si="25"/>
        <v>16.3333333333333</v>
      </c>
      <c r="AA141" s="46">
        <f t="shared" si="26"/>
        <v>32.6666666666666</v>
      </c>
      <c r="AC141" s="44">
        <v>138</v>
      </c>
      <c r="AD141" s="46">
        <v>50</v>
      </c>
      <c r="AE141" s="46">
        <v>50</v>
      </c>
      <c r="AF141" s="46">
        <v>50</v>
      </c>
      <c r="AG141" s="46">
        <v>50</v>
      </c>
      <c r="AH141" s="46">
        <v>50</v>
      </c>
    </row>
    <row r="142" spans="1:34" ht="15.95" customHeight="1" x14ac:dyDescent="0.25">
      <c r="A142" s="29" t="s">
        <v>179</v>
      </c>
      <c r="B142" s="31">
        <v>0.18402777777777779</v>
      </c>
      <c r="C142" s="31">
        <v>0.8027777777777777</v>
      </c>
      <c r="D142" s="31">
        <v>9.6527777777777768E-2</v>
      </c>
      <c r="E142" s="31">
        <v>0.89097222222222217</v>
      </c>
      <c r="F142" s="31">
        <v>0.13125000000000001</v>
      </c>
      <c r="G142" s="31">
        <v>0.85625000000000007</v>
      </c>
      <c r="H142" s="31">
        <v>0.16041666666666668</v>
      </c>
      <c r="I142" s="31">
        <v>0.82638888888888884</v>
      </c>
      <c r="J142" s="31">
        <v>0.49305555555555558</v>
      </c>
      <c r="K142" s="30">
        <f>((K156-K125)/31)+K141</f>
        <v>74.483870967742021</v>
      </c>
      <c r="L142" s="30">
        <f>((L156-L125)/31)+L141</f>
        <v>61.387096774193544</v>
      </c>
      <c r="M142" s="90">
        <v>61.322580645161338</v>
      </c>
      <c r="N142" s="89">
        <f t="shared" si="28"/>
        <v>39.774193548387068</v>
      </c>
      <c r="O142" s="106">
        <f t="shared" si="27"/>
        <v>38.709677419354811</v>
      </c>
      <c r="P142" s="108">
        <v>45.935483870967722</v>
      </c>
      <c r="Q142" s="108">
        <v>10.451612903225792</v>
      </c>
      <c r="R142" s="107">
        <v>29.645161290322594</v>
      </c>
      <c r="S142" s="41" t="s">
        <v>435</v>
      </c>
      <c r="T142" s="41" t="s">
        <v>435</v>
      </c>
      <c r="U142" s="33"/>
      <c r="V142" s="44">
        <v>139</v>
      </c>
      <c r="W142" s="46">
        <f t="shared" si="24"/>
        <v>6.4375000000000018</v>
      </c>
      <c r="X142" s="46">
        <f t="shared" si="22"/>
        <v>9.9090909090909243</v>
      </c>
      <c r="Y142" s="46">
        <f t="shared" si="23"/>
        <v>13.374999999999989</v>
      </c>
      <c r="Z142" s="46">
        <f t="shared" si="25"/>
        <v>16.499999999999968</v>
      </c>
      <c r="AA142" s="46">
        <f t="shared" si="26"/>
        <v>32.999999999999936</v>
      </c>
      <c r="AC142" s="44">
        <v>139</v>
      </c>
      <c r="AD142" s="46">
        <v>50</v>
      </c>
      <c r="AE142" s="46">
        <v>50</v>
      </c>
      <c r="AF142" s="46">
        <v>50</v>
      </c>
      <c r="AG142" s="46">
        <v>50</v>
      </c>
      <c r="AH142" s="46">
        <v>50</v>
      </c>
    </row>
    <row r="143" spans="1:34" ht="15.95" customHeight="1" x14ac:dyDescent="0.25">
      <c r="A143" s="29" t="s">
        <v>180</v>
      </c>
      <c r="B143" s="31">
        <v>0.18333333333333335</v>
      </c>
      <c r="C143" s="31">
        <v>0.80347222222222225</v>
      </c>
      <c r="D143" s="31">
        <v>9.5138888888888884E-2</v>
      </c>
      <c r="E143" s="31">
        <v>0.89236111111111116</v>
      </c>
      <c r="F143" s="31">
        <v>0.12986111111111112</v>
      </c>
      <c r="G143" s="31">
        <v>0.8569444444444444</v>
      </c>
      <c r="H143" s="31">
        <v>0.15972222222222224</v>
      </c>
      <c r="I143" s="31">
        <v>0.82708333333333339</v>
      </c>
      <c r="J143" s="31">
        <v>0.49305555555555558</v>
      </c>
      <c r="K143" s="30">
        <f>((K156-K125)/31)+K142</f>
        <v>74.806451612903317</v>
      </c>
      <c r="L143" s="30">
        <f>((L156-L125)/31)+L142</f>
        <v>61.645161290322577</v>
      </c>
      <c r="M143" s="90">
        <v>61.670967741935534</v>
      </c>
      <c r="N143" s="89">
        <f t="shared" si="28"/>
        <v>39.69032258064513</v>
      </c>
      <c r="O143" s="106">
        <f t="shared" si="27"/>
        <v>38.516129032258036</v>
      </c>
      <c r="P143" s="108">
        <v>46.225806451612883</v>
      </c>
      <c r="Q143" s="108">
        <v>10.419354838709662</v>
      </c>
      <c r="R143" s="107">
        <v>29.741935483870982</v>
      </c>
      <c r="S143" s="41" t="s">
        <v>435</v>
      </c>
      <c r="T143" s="41" t="s">
        <v>435</v>
      </c>
      <c r="U143" s="33"/>
      <c r="V143" s="44">
        <v>140</v>
      </c>
      <c r="W143" s="46">
        <f t="shared" si="24"/>
        <v>6.5000000000000018</v>
      </c>
      <c r="X143" s="46">
        <f t="shared" si="22"/>
        <v>10.000000000000016</v>
      </c>
      <c r="Y143" s="46">
        <f t="shared" si="23"/>
        <v>13.499999999999989</v>
      </c>
      <c r="Z143" s="46">
        <f t="shared" si="25"/>
        <v>16.666666666666636</v>
      </c>
      <c r="AA143" s="46">
        <f t="shared" si="26"/>
        <v>33.333333333333272</v>
      </c>
      <c r="AC143" s="44">
        <v>140</v>
      </c>
      <c r="AD143" s="46">
        <v>50</v>
      </c>
      <c r="AE143" s="46">
        <v>50</v>
      </c>
      <c r="AF143" s="46">
        <v>50</v>
      </c>
      <c r="AG143" s="46">
        <v>50</v>
      </c>
      <c r="AH143" s="46">
        <v>50</v>
      </c>
    </row>
    <row r="144" spans="1:34" ht="15.95" customHeight="1" x14ac:dyDescent="0.25">
      <c r="A144" s="29" t="s">
        <v>181</v>
      </c>
      <c r="B144" s="31">
        <v>0.18263888888888891</v>
      </c>
      <c r="C144" s="31">
        <v>0.8041666666666667</v>
      </c>
      <c r="D144" s="31">
        <v>9.375E-2</v>
      </c>
      <c r="E144" s="31">
        <v>0.89374999999999993</v>
      </c>
      <c r="F144" s="31">
        <v>0.12916666666666668</v>
      </c>
      <c r="G144" s="31">
        <v>0.85833333333333339</v>
      </c>
      <c r="H144" s="31">
        <v>0.15902777777777777</v>
      </c>
      <c r="I144" s="31">
        <v>0.82777777777777783</v>
      </c>
      <c r="J144" s="31">
        <v>0.49305555555555558</v>
      </c>
      <c r="K144" s="30">
        <f>((K156-K125)/31)+K143</f>
        <v>75.129032258064612</v>
      </c>
      <c r="L144" s="30">
        <f>((L156-L125)/31)+L143</f>
        <v>61.903225806451609</v>
      </c>
      <c r="M144" s="90">
        <v>62.019354838709731</v>
      </c>
      <c r="N144" s="89">
        <f t="shared" si="28"/>
        <v>39.606451612903193</v>
      </c>
      <c r="O144" s="106">
        <f t="shared" si="27"/>
        <v>38.32258064516126</v>
      </c>
      <c r="P144" s="108">
        <v>46.516129032258043</v>
      </c>
      <c r="Q144" s="108">
        <v>10.387096774193532</v>
      </c>
      <c r="R144" s="107">
        <v>29.83870967741937</v>
      </c>
      <c r="S144" s="41" t="s">
        <v>435</v>
      </c>
      <c r="T144" s="41" t="s">
        <v>435</v>
      </c>
      <c r="U144" s="33"/>
      <c r="V144" s="44">
        <v>141</v>
      </c>
      <c r="W144" s="46">
        <f t="shared" si="24"/>
        <v>6.5625000000000018</v>
      </c>
      <c r="X144" s="46">
        <f t="shared" si="22"/>
        <v>10.090909090909108</v>
      </c>
      <c r="Y144" s="46">
        <f t="shared" si="23"/>
        <v>13.624999999999989</v>
      </c>
      <c r="Z144" s="46">
        <f t="shared" si="25"/>
        <v>16.833333333333304</v>
      </c>
      <c r="AA144" s="46">
        <f t="shared" si="26"/>
        <v>33.666666666666607</v>
      </c>
      <c r="AC144" s="44">
        <v>141</v>
      </c>
      <c r="AD144" s="46">
        <v>50</v>
      </c>
      <c r="AE144" s="46">
        <v>50</v>
      </c>
      <c r="AF144" s="46">
        <v>50</v>
      </c>
      <c r="AG144" s="46">
        <v>50</v>
      </c>
      <c r="AH144" s="46">
        <v>50</v>
      </c>
    </row>
    <row r="145" spans="1:34" ht="15.95" customHeight="1" x14ac:dyDescent="0.25">
      <c r="A145" s="29" t="s">
        <v>182</v>
      </c>
      <c r="B145" s="31">
        <v>0.18194444444444444</v>
      </c>
      <c r="C145" s="31">
        <v>0.80486111111111114</v>
      </c>
      <c r="D145" s="31">
        <v>9.3055555555555558E-2</v>
      </c>
      <c r="E145" s="31">
        <v>0.89444444444444438</v>
      </c>
      <c r="F145" s="31">
        <v>0.12847222222222224</v>
      </c>
      <c r="G145" s="31">
        <v>0.85902777777777783</v>
      </c>
      <c r="H145" s="31">
        <v>0.15833333333333333</v>
      </c>
      <c r="I145" s="31">
        <v>0.82847222222222217</v>
      </c>
      <c r="J145" s="31">
        <v>0.49305555555555558</v>
      </c>
      <c r="K145" s="30">
        <f>((K156-K125)/31)+K144</f>
        <v>75.451612903225907</v>
      </c>
      <c r="L145" s="30">
        <f>((L156-L125)/31)+L144</f>
        <v>62.161290322580641</v>
      </c>
      <c r="M145" s="90">
        <v>62.367741935483927</v>
      </c>
      <c r="N145" s="89">
        <f t="shared" si="28"/>
        <v>39.522580645161256</v>
      </c>
      <c r="O145" s="106">
        <f t="shared" si="27"/>
        <v>38.129032258064484</v>
      </c>
      <c r="P145" s="108">
        <v>46.806451612903203</v>
      </c>
      <c r="Q145" s="108">
        <v>10.354838709677402</v>
      </c>
      <c r="R145" s="107">
        <v>29.935483870967758</v>
      </c>
      <c r="S145" s="41" t="s">
        <v>435</v>
      </c>
      <c r="T145" s="41" t="s">
        <v>435</v>
      </c>
      <c r="U145" s="33"/>
      <c r="V145" s="44">
        <v>142</v>
      </c>
      <c r="W145" s="46">
        <f t="shared" si="24"/>
        <v>6.6250000000000018</v>
      </c>
      <c r="X145" s="46">
        <f t="shared" si="22"/>
        <v>10.181818181818199</v>
      </c>
      <c r="Y145" s="46">
        <f t="shared" si="23"/>
        <v>13.749999999999989</v>
      </c>
      <c r="Z145" s="46">
        <f t="shared" si="25"/>
        <v>16.999999999999972</v>
      </c>
      <c r="AA145" s="46">
        <f t="shared" si="26"/>
        <v>33.999999999999943</v>
      </c>
      <c r="AC145" s="44">
        <v>142</v>
      </c>
      <c r="AD145" s="46">
        <v>50</v>
      </c>
      <c r="AE145" s="46">
        <v>50</v>
      </c>
      <c r="AF145" s="46">
        <v>50</v>
      </c>
      <c r="AG145" s="46">
        <v>50</v>
      </c>
      <c r="AH145" s="46">
        <v>50</v>
      </c>
    </row>
    <row r="146" spans="1:34" ht="15.95" customHeight="1" x14ac:dyDescent="0.25">
      <c r="A146" s="29" t="s">
        <v>183</v>
      </c>
      <c r="B146" s="31">
        <v>0.18124999999999999</v>
      </c>
      <c r="C146" s="31">
        <v>0.80555555555555547</v>
      </c>
      <c r="D146" s="31">
        <v>9.1666666666666674E-2</v>
      </c>
      <c r="E146" s="31">
        <v>0.89583333333333337</v>
      </c>
      <c r="F146" s="31">
        <v>0.1277777777777778</v>
      </c>
      <c r="G146" s="31">
        <v>0.85972222222222217</v>
      </c>
      <c r="H146" s="31">
        <v>0.15763888888888888</v>
      </c>
      <c r="I146" s="31">
        <v>0.82986111111111116</v>
      </c>
      <c r="J146" s="31">
        <v>0.49305555555555558</v>
      </c>
      <c r="K146" s="30">
        <f>((K156-K125)/31)+K145</f>
        <v>75.774193548387203</v>
      </c>
      <c r="L146" s="30">
        <f>((L156-L125)/31)+L145</f>
        <v>62.419354838709673</v>
      </c>
      <c r="M146" s="90">
        <v>62.716129032258124</v>
      </c>
      <c r="N146" s="89">
        <f t="shared" si="28"/>
        <v>39.438709677419318</v>
      </c>
      <c r="O146" s="106">
        <f t="shared" si="27"/>
        <v>37.935483870967708</v>
      </c>
      <c r="P146" s="108">
        <v>47.096774193548363</v>
      </c>
      <c r="Q146" s="108">
        <v>10.322580645161272</v>
      </c>
      <c r="R146" s="107">
        <v>30.032258064516146</v>
      </c>
      <c r="S146" s="41" t="s">
        <v>435</v>
      </c>
      <c r="T146" s="41" t="s">
        <v>435</v>
      </c>
      <c r="U146" s="33"/>
      <c r="V146" s="44">
        <v>143</v>
      </c>
      <c r="W146" s="46">
        <f t="shared" si="24"/>
        <v>6.6875000000000018</v>
      </c>
      <c r="X146" s="46">
        <f t="shared" si="22"/>
        <v>10.272727272727291</v>
      </c>
      <c r="Y146" s="46">
        <f t="shared" si="23"/>
        <v>13.874999999999989</v>
      </c>
      <c r="Z146" s="46">
        <f t="shared" si="25"/>
        <v>17.166666666666639</v>
      </c>
      <c r="AA146" s="46">
        <f t="shared" si="26"/>
        <v>34.333333333333279</v>
      </c>
      <c r="AC146" s="44">
        <v>143</v>
      </c>
      <c r="AD146" s="46">
        <v>50</v>
      </c>
      <c r="AE146" s="46">
        <v>50</v>
      </c>
      <c r="AF146" s="46">
        <v>50</v>
      </c>
      <c r="AG146" s="46">
        <v>50</v>
      </c>
      <c r="AH146" s="46">
        <v>50</v>
      </c>
    </row>
    <row r="147" spans="1:34" ht="15.95" customHeight="1" x14ac:dyDescent="0.25">
      <c r="A147" s="29" t="s">
        <v>184</v>
      </c>
      <c r="B147" s="31">
        <v>0.18055555555555555</v>
      </c>
      <c r="C147" s="31">
        <v>0.80625000000000002</v>
      </c>
      <c r="D147" s="31">
        <v>9.0972222222222218E-2</v>
      </c>
      <c r="E147" s="31">
        <v>0.89722222222222225</v>
      </c>
      <c r="F147" s="31">
        <v>0.12638888888888888</v>
      </c>
      <c r="G147" s="31">
        <v>0.86111111111111116</v>
      </c>
      <c r="H147" s="31">
        <v>0.15694444444444444</v>
      </c>
      <c r="I147" s="31">
        <v>0.8305555555555556</v>
      </c>
      <c r="J147" s="31">
        <v>0.49374999999999997</v>
      </c>
      <c r="K147" s="30">
        <f>((K156-K125)/31)+K146</f>
        <v>76.096774193548498</v>
      </c>
      <c r="L147" s="30">
        <f>((L156-L125)/31)+L146</f>
        <v>62.677419354838705</v>
      </c>
      <c r="M147" s="90">
        <v>63.06451612903232</v>
      </c>
      <c r="N147" s="89">
        <f t="shared" si="28"/>
        <v>39.354838709677381</v>
      </c>
      <c r="O147" s="106">
        <f t="shared" si="27"/>
        <v>37.741935483870932</v>
      </c>
      <c r="P147" s="108">
        <v>47.387096774193523</v>
      </c>
      <c r="Q147" s="108">
        <v>10.290322580645142</v>
      </c>
      <c r="R147" s="107">
        <v>30.129032258064534</v>
      </c>
      <c r="S147" s="41" t="s">
        <v>435</v>
      </c>
      <c r="T147" s="41" t="s">
        <v>435</v>
      </c>
      <c r="U147" s="33"/>
      <c r="V147" s="44">
        <v>144</v>
      </c>
      <c r="W147" s="46">
        <f t="shared" si="24"/>
        <v>6.7500000000000018</v>
      </c>
      <c r="X147" s="46">
        <f t="shared" si="22"/>
        <v>10.363636363636383</v>
      </c>
      <c r="Y147" s="46">
        <f t="shared" si="23"/>
        <v>13.999999999999989</v>
      </c>
      <c r="Z147" s="46">
        <f t="shared" si="25"/>
        <v>17.333333333333307</v>
      </c>
      <c r="AA147" s="46">
        <f t="shared" si="26"/>
        <v>34.666666666666615</v>
      </c>
      <c r="AC147" s="44">
        <v>144</v>
      </c>
      <c r="AD147" s="46">
        <v>50</v>
      </c>
      <c r="AE147" s="46">
        <v>50</v>
      </c>
      <c r="AF147" s="46">
        <v>50</v>
      </c>
      <c r="AG147" s="46">
        <v>50</v>
      </c>
      <c r="AH147" s="46">
        <v>50</v>
      </c>
    </row>
    <row r="148" spans="1:34" ht="15.95" customHeight="1" x14ac:dyDescent="0.25">
      <c r="A148" s="29" t="s">
        <v>185</v>
      </c>
      <c r="B148" s="31">
        <v>0.18055555555555555</v>
      </c>
      <c r="C148" s="31">
        <v>0.80694444444444446</v>
      </c>
      <c r="D148" s="31">
        <v>8.9583333333333334E-2</v>
      </c>
      <c r="E148" s="31">
        <v>0.89861111111111114</v>
      </c>
      <c r="F148" s="31">
        <v>0.12569444444444444</v>
      </c>
      <c r="G148" s="31">
        <v>0.8618055555555556</v>
      </c>
      <c r="H148" s="31">
        <v>0.15625</v>
      </c>
      <c r="I148" s="31">
        <v>0.83124999999999993</v>
      </c>
      <c r="J148" s="31">
        <v>0.49374999999999997</v>
      </c>
      <c r="K148" s="30">
        <f>((K156-K125)/31)+K147</f>
        <v>76.419354838709793</v>
      </c>
      <c r="L148" s="30">
        <f>((L156-L125)/31)+L147</f>
        <v>62.935483870967737</v>
      </c>
      <c r="M148" s="90">
        <v>63.412903225806517</v>
      </c>
      <c r="N148" s="89">
        <f t="shared" si="28"/>
        <v>39.270967741935443</v>
      </c>
      <c r="O148" s="106">
        <f t="shared" si="27"/>
        <v>37.548387096774157</v>
      </c>
      <c r="P148" s="108">
        <v>47.677419354838683</v>
      </c>
      <c r="Q148" s="108">
        <v>10.258064516129012</v>
      </c>
      <c r="R148" s="107">
        <v>30.225806451612922</v>
      </c>
      <c r="S148" s="41" t="s">
        <v>435</v>
      </c>
      <c r="T148" s="41" t="s">
        <v>435</v>
      </c>
      <c r="U148" s="33"/>
      <c r="V148" s="44">
        <v>145</v>
      </c>
      <c r="W148" s="46">
        <f t="shared" si="24"/>
        <v>6.8125000000000018</v>
      </c>
      <c r="X148" s="46">
        <f t="shared" si="22"/>
        <v>10.454545454545475</v>
      </c>
      <c r="Y148" s="46">
        <f t="shared" si="23"/>
        <v>14.124999999999989</v>
      </c>
      <c r="Z148" s="46">
        <f t="shared" si="25"/>
        <v>17.499999999999975</v>
      </c>
      <c r="AA148" s="46">
        <f t="shared" si="26"/>
        <v>34.99999999999995</v>
      </c>
      <c r="AC148" s="44">
        <v>145</v>
      </c>
      <c r="AD148" s="46">
        <v>50</v>
      </c>
      <c r="AE148" s="46">
        <v>50</v>
      </c>
      <c r="AF148" s="46">
        <v>50</v>
      </c>
      <c r="AG148" s="46">
        <v>50</v>
      </c>
      <c r="AH148" s="46">
        <v>50</v>
      </c>
    </row>
    <row r="149" spans="1:34" ht="15.95" customHeight="1" x14ac:dyDescent="0.25">
      <c r="A149" s="29" t="s">
        <v>186</v>
      </c>
      <c r="B149" s="31">
        <v>0.17986111111111111</v>
      </c>
      <c r="C149" s="31">
        <v>0.80763888888888891</v>
      </c>
      <c r="D149" s="31">
        <v>8.819444444444445E-2</v>
      </c>
      <c r="E149" s="31">
        <v>0.89930555555555547</v>
      </c>
      <c r="F149" s="31">
        <v>0.125</v>
      </c>
      <c r="G149" s="31">
        <v>0.86249999999999993</v>
      </c>
      <c r="H149" s="31">
        <v>0.15555555555555556</v>
      </c>
      <c r="I149" s="31">
        <v>0.83194444444444438</v>
      </c>
      <c r="J149" s="31">
        <v>0.49374999999999997</v>
      </c>
      <c r="K149" s="30">
        <f>((K156-K125)/31)+K148</f>
        <v>76.741935483871089</v>
      </c>
      <c r="L149" s="30">
        <f>((L156-L125)/31)+L148</f>
        <v>63.193548387096769</v>
      </c>
      <c r="M149" s="90">
        <v>63.761290322580713</v>
      </c>
      <c r="N149" s="89">
        <f t="shared" si="28"/>
        <v>39.187096774193506</v>
      </c>
      <c r="O149" s="106">
        <f t="shared" si="27"/>
        <v>37.354838709677381</v>
      </c>
      <c r="P149" s="108">
        <v>47.967741935483843</v>
      </c>
      <c r="Q149" s="108">
        <v>10.225806451612883</v>
      </c>
      <c r="R149" s="107">
        <v>30.32258064516131</v>
      </c>
      <c r="S149" s="41" t="s">
        <v>435</v>
      </c>
      <c r="T149" s="41" t="s">
        <v>435</v>
      </c>
      <c r="U149" s="33"/>
      <c r="V149" s="44">
        <v>146</v>
      </c>
      <c r="W149" s="46">
        <f t="shared" si="24"/>
        <v>6.8750000000000018</v>
      </c>
      <c r="X149" s="46">
        <f t="shared" si="22"/>
        <v>10.545454545454566</v>
      </c>
      <c r="Y149" s="46">
        <f t="shared" si="23"/>
        <v>14.249999999999989</v>
      </c>
      <c r="Z149" s="46">
        <f t="shared" si="25"/>
        <v>17.666666666666643</v>
      </c>
      <c r="AA149" s="46">
        <f t="shared" si="26"/>
        <v>35.333333333333286</v>
      </c>
      <c r="AC149" s="44">
        <v>146</v>
      </c>
      <c r="AD149" s="46">
        <v>50</v>
      </c>
      <c r="AE149" s="46">
        <v>50</v>
      </c>
      <c r="AF149" s="46">
        <v>50</v>
      </c>
      <c r="AG149" s="46">
        <v>50</v>
      </c>
      <c r="AH149" s="46">
        <v>50</v>
      </c>
    </row>
    <row r="150" spans="1:34" ht="15.95" customHeight="1" x14ac:dyDescent="0.25">
      <c r="A150" s="29" t="s">
        <v>187</v>
      </c>
      <c r="B150" s="31">
        <v>0.17916666666666667</v>
      </c>
      <c r="C150" s="31">
        <v>0.80833333333333324</v>
      </c>
      <c r="D150" s="31">
        <v>8.7500000000000008E-2</v>
      </c>
      <c r="E150" s="31">
        <v>0.90069444444444446</v>
      </c>
      <c r="F150" s="31">
        <v>0.12430555555555556</v>
      </c>
      <c r="G150" s="31">
        <v>0.86319444444444438</v>
      </c>
      <c r="H150" s="31">
        <v>0.15486111111111112</v>
      </c>
      <c r="I150" s="31">
        <v>0.83263888888888893</v>
      </c>
      <c r="J150" s="31">
        <v>0.49374999999999997</v>
      </c>
      <c r="K150" s="30">
        <f>((K156-K125)/31)+K149</f>
        <v>77.064516129032384</v>
      </c>
      <c r="L150" s="30">
        <f>((L156-L125)/31)+L149</f>
        <v>63.451612903225801</v>
      </c>
      <c r="M150" s="90">
        <v>64.109677419354909</v>
      </c>
      <c r="N150" s="89">
        <f t="shared" si="28"/>
        <v>39.103225806451569</v>
      </c>
      <c r="O150" s="106">
        <f t="shared" si="27"/>
        <v>37.161290322580605</v>
      </c>
      <c r="P150" s="108">
        <v>48.258064516129004</v>
      </c>
      <c r="Q150" s="108">
        <v>10.193548387096753</v>
      </c>
      <c r="R150" s="107">
        <v>30.419354838709697</v>
      </c>
      <c r="S150" s="41" t="s">
        <v>435</v>
      </c>
      <c r="T150" s="41" t="s">
        <v>435</v>
      </c>
      <c r="U150" s="33"/>
      <c r="V150" s="44">
        <v>147</v>
      </c>
      <c r="W150" s="46">
        <f t="shared" si="24"/>
        <v>6.9375000000000018</v>
      </c>
      <c r="X150" s="46">
        <f t="shared" si="22"/>
        <v>10.636363636363658</v>
      </c>
      <c r="Y150" s="46">
        <f t="shared" si="23"/>
        <v>14.374999999999989</v>
      </c>
      <c r="Z150" s="46">
        <f t="shared" si="25"/>
        <v>17.833333333333311</v>
      </c>
      <c r="AA150" s="46">
        <f t="shared" si="26"/>
        <v>35.666666666666622</v>
      </c>
      <c r="AC150" s="44">
        <v>147</v>
      </c>
      <c r="AD150" s="46">
        <v>50</v>
      </c>
      <c r="AE150" s="46">
        <v>50</v>
      </c>
      <c r="AF150" s="46">
        <v>50</v>
      </c>
      <c r="AG150" s="46">
        <v>50</v>
      </c>
      <c r="AH150" s="46">
        <v>50</v>
      </c>
    </row>
    <row r="151" spans="1:34" ht="15.95" customHeight="1" x14ac:dyDescent="0.25">
      <c r="A151" s="29" t="s">
        <v>188</v>
      </c>
      <c r="B151" s="31">
        <v>0.17847222222222223</v>
      </c>
      <c r="C151" s="31">
        <v>0.80902777777777779</v>
      </c>
      <c r="D151" s="31">
        <v>8.6805555555555566E-2</v>
      </c>
      <c r="E151" s="31">
        <v>0.90208333333333324</v>
      </c>
      <c r="F151" s="31">
        <v>0.12361111111111112</v>
      </c>
      <c r="G151" s="31">
        <v>0.86458333333333337</v>
      </c>
      <c r="H151" s="31">
        <v>0.15486111111111112</v>
      </c>
      <c r="I151" s="31">
        <v>0.83333333333333337</v>
      </c>
      <c r="J151" s="31">
        <v>0.49374999999999997</v>
      </c>
      <c r="K151" s="30">
        <f>((K156-K125)/31)+K150</f>
        <v>77.387096774193679</v>
      </c>
      <c r="L151" s="30">
        <f>((L156-L125)/31)+L150</f>
        <v>63.709677419354833</v>
      </c>
      <c r="M151" s="90">
        <v>64.458064516129099</v>
      </c>
      <c r="N151" s="89">
        <f t="shared" si="28"/>
        <v>39.019354838709631</v>
      </c>
      <c r="O151" s="106">
        <f t="shared" si="27"/>
        <v>36.967741935483829</v>
      </c>
      <c r="P151" s="108">
        <v>48.548387096774164</v>
      </c>
      <c r="Q151" s="108">
        <v>10.161290322580623</v>
      </c>
      <c r="R151" s="107">
        <v>30.516129032258085</v>
      </c>
      <c r="S151" s="41" t="s">
        <v>435</v>
      </c>
      <c r="T151" s="41" t="s">
        <v>435</v>
      </c>
      <c r="U151" s="33"/>
      <c r="V151" s="44">
        <v>148</v>
      </c>
      <c r="W151" s="46">
        <f t="shared" si="24"/>
        <v>7.0000000000000018</v>
      </c>
      <c r="X151" s="46">
        <f t="shared" si="22"/>
        <v>10.72727272727275</v>
      </c>
      <c r="Y151" s="46">
        <f t="shared" si="23"/>
        <v>14.499999999999989</v>
      </c>
      <c r="Z151" s="46">
        <f t="shared" si="25"/>
        <v>17.999999999999979</v>
      </c>
      <c r="AA151" s="46">
        <f t="shared" si="26"/>
        <v>35.999999999999957</v>
      </c>
      <c r="AC151" s="44">
        <v>148</v>
      </c>
      <c r="AD151" s="46">
        <v>50</v>
      </c>
      <c r="AE151" s="46">
        <v>50</v>
      </c>
      <c r="AF151" s="46">
        <v>50</v>
      </c>
      <c r="AG151" s="46">
        <v>50</v>
      </c>
      <c r="AH151" s="46">
        <v>50</v>
      </c>
    </row>
    <row r="152" spans="1:34" ht="15.95" customHeight="1" x14ac:dyDescent="0.25">
      <c r="A152" s="29" t="s">
        <v>189</v>
      </c>
      <c r="B152" s="31">
        <v>0.17847222222222223</v>
      </c>
      <c r="C152" s="31">
        <v>0.80972222222222223</v>
      </c>
      <c r="D152" s="31">
        <v>8.5416666666666655E-2</v>
      </c>
      <c r="E152" s="31">
        <v>0.90277777777777779</v>
      </c>
      <c r="F152" s="31">
        <v>0.12291666666666667</v>
      </c>
      <c r="G152" s="31">
        <v>0.8652777777777777</v>
      </c>
      <c r="H152" s="31">
        <v>0.15416666666666667</v>
      </c>
      <c r="I152" s="31">
        <v>0.8340277777777777</v>
      </c>
      <c r="J152" s="31">
        <v>0.49374999999999997</v>
      </c>
      <c r="K152" s="30">
        <f>((K156-K125)/31)+K151</f>
        <v>77.709677419354975</v>
      </c>
      <c r="L152" s="30">
        <f>((L156-L125)/31)+L151</f>
        <v>63.967741935483865</v>
      </c>
      <c r="M152" s="90">
        <v>64.806451612903288</v>
      </c>
      <c r="N152" s="89">
        <f t="shared" si="28"/>
        <v>38.935483870967694</v>
      </c>
      <c r="O152" s="106">
        <f t="shared" si="27"/>
        <v>36.774193548387053</v>
      </c>
      <c r="P152" s="108">
        <v>48.838709677419324</v>
      </c>
      <c r="Q152" s="108">
        <v>10.129032258064493</v>
      </c>
      <c r="R152" s="107">
        <v>30.612903225806473</v>
      </c>
      <c r="S152" s="41" t="s">
        <v>435</v>
      </c>
      <c r="T152" s="41" t="s">
        <v>435</v>
      </c>
      <c r="U152" s="33"/>
      <c r="V152" s="44">
        <v>149</v>
      </c>
      <c r="W152" s="46">
        <f t="shared" si="24"/>
        <v>7.0625000000000018</v>
      </c>
      <c r="X152" s="46">
        <f t="shared" si="22"/>
        <v>10.818181818181841</v>
      </c>
      <c r="Y152" s="46">
        <f t="shared" si="23"/>
        <v>14.624999999999989</v>
      </c>
      <c r="Z152" s="46">
        <f t="shared" si="25"/>
        <v>18.166666666666647</v>
      </c>
      <c r="AA152" s="46">
        <f t="shared" si="26"/>
        <v>36.333333333333293</v>
      </c>
      <c r="AC152" s="44">
        <v>149</v>
      </c>
      <c r="AD152" s="46">
        <v>50</v>
      </c>
      <c r="AE152" s="46">
        <v>50</v>
      </c>
      <c r="AF152" s="46">
        <v>50</v>
      </c>
      <c r="AG152" s="46">
        <v>50</v>
      </c>
      <c r="AH152" s="46">
        <v>50</v>
      </c>
    </row>
    <row r="153" spans="1:34" ht="15.95" customHeight="1" x14ac:dyDescent="0.25">
      <c r="A153" s="29" t="s">
        <v>190</v>
      </c>
      <c r="B153" s="31">
        <v>0.17777777777777778</v>
      </c>
      <c r="C153" s="31">
        <v>0.81041666666666667</v>
      </c>
      <c r="D153" s="31">
        <v>8.4722222222222213E-2</v>
      </c>
      <c r="E153" s="31">
        <v>0.90416666666666667</v>
      </c>
      <c r="F153" s="31">
        <v>0.12222222222222223</v>
      </c>
      <c r="G153" s="31">
        <v>0.86597222222222225</v>
      </c>
      <c r="H153" s="31">
        <v>0.15347222222222223</v>
      </c>
      <c r="I153" s="31">
        <v>0.83472222222222225</v>
      </c>
      <c r="J153" s="31">
        <v>0.49374999999999997</v>
      </c>
      <c r="K153" s="30">
        <f>((K156-K125)/31)+K152</f>
        <v>78.03225806451627</v>
      </c>
      <c r="L153" s="30">
        <f>((L156-L125)/31)+L152</f>
        <v>64.225806451612897</v>
      </c>
      <c r="M153" s="90">
        <v>65.154838709677477</v>
      </c>
      <c r="N153" s="89">
        <f t="shared" si="28"/>
        <v>38.851612903225757</v>
      </c>
      <c r="O153" s="106">
        <f t="shared" si="27"/>
        <v>36.580645161290278</v>
      </c>
      <c r="P153" s="108">
        <v>49.129032258064484</v>
      </c>
      <c r="Q153" s="108">
        <v>10.096774193548363</v>
      </c>
      <c r="R153" s="107">
        <v>30.709677419354861</v>
      </c>
      <c r="S153" s="41" t="s">
        <v>435</v>
      </c>
      <c r="T153" s="41" t="s">
        <v>435</v>
      </c>
      <c r="U153" s="33"/>
      <c r="V153" s="44">
        <v>150</v>
      </c>
      <c r="W153" s="46">
        <f t="shared" si="24"/>
        <v>7.1250000000000018</v>
      </c>
      <c r="X153" s="46">
        <f t="shared" si="22"/>
        <v>10.909090909090933</v>
      </c>
      <c r="Y153" s="46">
        <f t="shared" si="23"/>
        <v>14.749999999999989</v>
      </c>
      <c r="Z153" s="46">
        <f t="shared" si="25"/>
        <v>18.333333333333314</v>
      </c>
      <c r="AA153" s="46">
        <f t="shared" si="26"/>
        <v>36.666666666666629</v>
      </c>
      <c r="AC153" s="44">
        <v>150</v>
      </c>
      <c r="AD153" s="46">
        <v>50</v>
      </c>
      <c r="AE153" s="46">
        <v>50</v>
      </c>
      <c r="AF153" s="46">
        <v>50</v>
      </c>
      <c r="AG153" s="46">
        <v>50</v>
      </c>
      <c r="AH153" s="46">
        <v>50</v>
      </c>
    </row>
    <row r="154" spans="1:34" ht="15.95" customHeight="1" x14ac:dyDescent="0.25">
      <c r="A154" s="29" t="s">
        <v>191</v>
      </c>
      <c r="B154" s="31">
        <v>0.17708333333333334</v>
      </c>
      <c r="C154" s="31">
        <v>0.81111111111111101</v>
      </c>
      <c r="D154" s="31">
        <v>8.4027777777777771E-2</v>
      </c>
      <c r="E154" s="31">
        <v>0.90486111111111101</v>
      </c>
      <c r="F154" s="31">
        <v>0.12152777777777778</v>
      </c>
      <c r="G154" s="31">
        <v>0.8666666666666667</v>
      </c>
      <c r="H154" s="31">
        <v>0.15277777777777776</v>
      </c>
      <c r="I154" s="31">
        <v>0.8354166666666667</v>
      </c>
      <c r="J154" s="31">
        <v>0.49374999999999997</v>
      </c>
      <c r="K154" s="30">
        <f>((K156-K125)/31)+K153</f>
        <v>78.354838709677566</v>
      </c>
      <c r="L154" s="30">
        <f>((L156-L125)/31)+L153</f>
        <v>64.483870967741936</v>
      </c>
      <c r="M154" s="90">
        <v>65.503225806451667</v>
      </c>
      <c r="N154" s="89">
        <f t="shared" si="28"/>
        <v>38.767741935483819</v>
      </c>
      <c r="O154" s="106">
        <f t="shared" si="27"/>
        <v>36.387096774193502</v>
      </c>
      <c r="P154" s="108">
        <v>49.419354838709644</v>
      </c>
      <c r="Q154" s="108">
        <v>10.064516129032233</v>
      </c>
      <c r="R154" s="107">
        <v>30.806451612903249</v>
      </c>
      <c r="S154" s="41" t="s">
        <v>435</v>
      </c>
      <c r="T154" s="41" t="s">
        <v>435</v>
      </c>
      <c r="U154" s="33"/>
      <c r="V154" s="44">
        <v>151</v>
      </c>
      <c r="W154" s="46">
        <f t="shared" si="24"/>
        <v>7.1875000000000018</v>
      </c>
      <c r="X154" s="46">
        <f t="shared" si="22"/>
        <v>11.000000000000025</v>
      </c>
      <c r="Y154" s="46">
        <f t="shared" si="23"/>
        <v>14.874999999999989</v>
      </c>
      <c r="Z154" s="46">
        <f t="shared" si="25"/>
        <v>18.499999999999982</v>
      </c>
      <c r="AA154" s="46">
        <f t="shared" si="26"/>
        <v>36.999999999999964</v>
      </c>
      <c r="AC154" s="44">
        <v>151</v>
      </c>
      <c r="AD154" s="46">
        <v>50</v>
      </c>
      <c r="AE154" s="46">
        <v>50</v>
      </c>
      <c r="AF154" s="46">
        <v>50</v>
      </c>
      <c r="AG154" s="46">
        <v>50</v>
      </c>
      <c r="AH154" s="46">
        <v>50</v>
      </c>
    </row>
    <row r="155" spans="1:34" ht="15.95" customHeight="1" x14ac:dyDescent="0.25">
      <c r="A155" s="29" t="s">
        <v>192</v>
      </c>
      <c r="B155" s="31">
        <v>0.17708333333333334</v>
      </c>
      <c r="C155" s="31">
        <v>0.81111111111111101</v>
      </c>
      <c r="D155" s="31">
        <v>8.2638888888888887E-2</v>
      </c>
      <c r="E155" s="31">
        <v>0.90625</v>
      </c>
      <c r="F155" s="31">
        <v>0.12152777777777778</v>
      </c>
      <c r="G155" s="31">
        <v>0.86736111111111114</v>
      </c>
      <c r="H155" s="31">
        <v>0.15277777777777776</v>
      </c>
      <c r="I155" s="31">
        <v>0.83611111111111114</v>
      </c>
      <c r="J155" s="31">
        <v>0.49374999999999997</v>
      </c>
      <c r="K155" s="30">
        <f>((K156-K125)/31)+K154</f>
        <v>78.677419354838861</v>
      </c>
      <c r="L155" s="30">
        <f>((L156-L125)/31)+L154</f>
        <v>64.741935483870975</v>
      </c>
      <c r="M155" s="90">
        <v>65.851612903225856</v>
      </c>
      <c r="N155" s="89">
        <f t="shared" si="28"/>
        <v>38.683870967741882</v>
      </c>
      <c r="O155" s="106">
        <f t="shared" si="27"/>
        <v>36.193548387096726</v>
      </c>
      <c r="P155" s="108">
        <v>49.709677419354804</v>
      </c>
      <c r="Q155" s="108">
        <v>10.032258064516103</v>
      </c>
      <c r="R155" s="107">
        <v>30.903225806451637</v>
      </c>
      <c r="S155" s="41" t="s">
        <v>435</v>
      </c>
      <c r="T155" s="41" t="s">
        <v>435</v>
      </c>
      <c r="U155" s="33"/>
      <c r="V155" s="44">
        <v>152</v>
      </c>
      <c r="W155" s="46">
        <f t="shared" si="24"/>
        <v>7.2500000000000018</v>
      </c>
      <c r="X155" s="46">
        <f t="shared" si="22"/>
        <v>11.090909090909117</v>
      </c>
      <c r="Y155" s="46">
        <f t="shared" si="23"/>
        <v>14.999999999999989</v>
      </c>
      <c r="Z155" s="46">
        <f t="shared" si="25"/>
        <v>18.66666666666665</v>
      </c>
      <c r="AA155" s="46">
        <f t="shared" si="26"/>
        <v>37.3333333333333</v>
      </c>
      <c r="AC155" s="44">
        <v>152</v>
      </c>
      <c r="AD155" s="46">
        <v>50</v>
      </c>
      <c r="AE155" s="46">
        <v>50</v>
      </c>
      <c r="AF155" s="46">
        <v>50</v>
      </c>
      <c r="AG155" s="46">
        <v>50</v>
      </c>
      <c r="AH155" s="46">
        <v>50</v>
      </c>
    </row>
    <row r="156" spans="1:34" ht="15.95" customHeight="1" x14ac:dyDescent="0.25">
      <c r="A156" s="29" t="s">
        <v>193</v>
      </c>
      <c r="B156" s="31">
        <v>0.1763888888888889</v>
      </c>
      <c r="C156" s="31">
        <v>0.81180555555555556</v>
      </c>
      <c r="D156" s="31">
        <v>8.1944444444444445E-2</v>
      </c>
      <c r="E156" s="31">
        <v>0.90694444444444444</v>
      </c>
      <c r="F156" s="31">
        <v>0.12083333333333333</v>
      </c>
      <c r="G156" s="31">
        <v>0.86805555555555547</v>
      </c>
      <c r="H156" s="31">
        <v>0.15208333333333332</v>
      </c>
      <c r="I156" s="31">
        <v>0.83680555555555547</v>
      </c>
      <c r="J156" s="31">
        <v>0.49444444444444446</v>
      </c>
      <c r="K156" s="30">
        <v>79</v>
      </c>
      <c r="L156" s="30">
        <v>65</v>
      </c>
      <c r="M156" s="90">
        <v>66.2</v>
      </c>
      <c r="N156" s="89">
        <v>38.6</v>
      </c>
      <c r="O156" s="106">
        <v>36</v>
      </c>
      <c r="P156" s="108">
        <v>50</v>
      </c>
      <c r="Q156" s="108">
        <v>10</v>
      </c>
      <c r="R156" s="107">
        <v>31</v>
      </c>
      <c r="S156" s="41" t="s">
        <v>431</v>
      </c>
      <c r="T156" s="41" t="s">
        <v>433</v>
      </c>
      <c r="U156" s="33"/>
      <c r="V156" s="44">
        <v>153</v>
      </c>
      <c r="W156" s="46">
        <f t="shared" si="24"/>
        <v>7.3125000000000018</v>
      </c>
      <c r="X156" s="46">
        <f t="shared" si="22"/>
        <v>11.181818181818208</v>
      </c>
      <c r="Y156" s="46">
        <f t="shared" si="23"/>
        <v>15.124999999999989</v>
      </c>
      <c r="Z156" s="46">
        <f t="shared" si="25"/>
        <v>18.833333333333318</v>
      </c>
      <c r="AA156" s="46">
        <f t="shared" si="26"/>
        <v>37.666666666666636</v>
      </c>
      <c r="AC156" s="44">
        <v>153</v>
      </c>
      <c r="AD156" s="46">
        <v>50</v>
      </c>
      <c r="AE156" s="46">
        <v>50</v>
      </c>
      <c r="AF156" s="46">
        <v>50</v>
      </c>
      <c r="AG156" s="46">
        <v>50</v>
      </c>
      <c r="AH156" s="46">
        <v>50</v>
      </c>
    </row>
    <row r="157" spans="1:34" ht="15.95" customHeight="1" x14ac:dyDescent="0.25">
      <c r="A157" s="29" t="s">
        <v>194</v>
      </c>
      <c r="B157" s="31">
        <v>0.1763888888888889</v>
      </c>
      <c r="C157" s="31">
        <v>0.8125</v>
      </c>
      <c r="D157" s="31">
        <v>8.1250000000000003E-2</v>
      </c>
      <c r="E157" s="31">
        <v>0.90833333333333333</v>
      </c>
      <c r="F157" s="31">
        <v>0.12013888888888889</v>
      </c>
      <c r="G157" s="31">
        <v>0.86875000000000002</v>
      </c>
      <c r="H157" s="31">
        <v>0.15208333333333332</v>
      </c>
      <c r="I157" s="31">
        <v>0.83680555555555547</v>
      </c>
      <c r="J157" s="31">
        <v>0.49444444444444446</v>
      </c>
      <c r="K157" s="30">
        <f>((K186-K156)/30)+K156</f>
        <v>79.066666666666663</v>
      </c>
      <c r="L157" s="30">
        <f>((L186-L156)/30)+L156</f>
        <v>65.2</v>
      </c>
      <c r="M157" s="90">
        <v>66.44</v>
      </c>
      <c r="N157" s="89">
        <f>((($N$186-$N$156)/30)+N156)</f>
        <v>38</v>
      </c>
      <c r="O157" s="106">
        <f>(($O$186-$O$156)/30)+O156</f>
        <v>35.9</v>
      </c>
      <c r="P157" s="108">
        <v>50.12</v>
      </c>
      <c r="Q157" s="108">
        <v>9.9666666666666668</v>
      </c>
      <c r="R157" s="107">
        <v>30.966666666666665</v>
      </c>
      <c r="S157" s="41" t="s">
        <v>431</v>
      </c>
      <c r="T157" s="41" t="s">
        <v>433</v>
      </c>
      <c r="U157" s="33"/>
      <c r="V157" s="44">
        <v>154</v>
      </c>
      <c r="W157" s="46">
        <f t="shared" si="24"/>
        <v>7.3750000000000018</v>
      </c>
      <c r="X157" s="46">
        <f t="shared" si="22"/>
        <v>11.2727272727273</v>
      </c>
      <c r="Y157" s="46">
        <f t="shared" si="23"/>
        <v>15.249999999999989</v>
      </c>
      <c r="Z157" s="46">
        <f t="shared" si="25"/>
        <v>18.999999999999986</v>
      </c>
      <c r="AA157" s="46">
        <f t="shared" si="26"/>
        <v>37.999999999999972</v>
      </c>
      <c r="AC157" s="44">
        <v>154</v>
      </c>
      <c r="AD157" s="46">
        <v>50</v>
      </c>
      <c r="AE157" s="46">
        <v>50</v>
      </c>
      <c r="AF157" s="46">
        <v>50</v>
      </c>
      <c r="AG157" s="46">
        <v>50</v>
      </c>
      <c r="AH157" s="46">
        <v>50</v>
      </c>
    </row>
    <row r="158" spans="1:34" ht="15.95" customHeight="1" x14ac:dyDescent="0.25">
      <c r="A158" s="29" t="s">
        <v>195</v>
      </c>
      <c r="B158" s="31">
        <v>0.17569444444444446</v>
      </c>
      <c r="C158" s="31">
        <v>0.81319444444444444</v>
      </c>
      <c r="D158" s="31">
        <v>8.0555555555555561E-2</v>
      </c>
      <c r="E158" s="31">
        <v>0.90902777777777777</v>
      </c>
      <c r="F158" s="31">
        <v>0.11944444444444445</v>
      </c>
      <c r="G158" s="31">
        <v>0.86944444444444446</v>
      </c>
      <c r="H158" s="31">
        <v>0.15138888888888888</v>
      </c>
      <c r="I158" s="31">
        <v>0.83750000000000002</v>
      </c>
      <c r="J158" s="31">
        <v>0.49444444444444446</v>
      </c>
      <c r="K158" s="30">
        <f>((K186-K156)/30)+K157</f>
        <v>79.133333333333326</v>
      </c>
      <c r="L158" s="30">
        <f>((L186-L156)/30)+L157</f>
        <v>65.400000000000006</v>
      </c>
      <c r="M158" s="90">
        <v>66.679999999999993</v>
      </c>
      <c r="N158" s="89">
        <f t="shared" ref="N158:N185" si="29">((($N$186-$N$156)/30)+N157)</f>
        <v>37.4</v>
      </c>
      <c r="O158" s="106">
        <f t="shared" ref="O158:O185" si="30">(($O$186-$O$156)/30)+O157</f>
        <v>35.799999999999997</v>
      </c>
      <c r="P158" s="108">
        <v>50.239999999999995</v>
      </c>
      <c r="Q158" s="108">
        <v>9.9333333333333336</v>
      </c>
      <c r="R158" s="107">
        <v>30.93333333333333</v>
      </c>
      <c r="S158" s="41" t="s">
        <v>431</v>
      </c>
      <c r="T158" s="41" t="s">
        <v>433</v>
      </c>
      <c r="U158" s="33"/>
      <c r="V158" s="44">
        <v>155</v>
      </c>
      <c r="W158" s="46">
        <f t="shared" si="24"/>
        <v>7.4375000000000018</v>
      </c>
      <c r="X158" s="46">
        <f t="shared" si="22"/>
        <v>11.363636363636392</v>
      </c>
      <c r="Y158" s="46">
        <f t="shared" si="23"/>
        <v>15.374999999999989</v>
      </c>
      <c r="Z158" s="46">
        <f t="shared" si="25"/>
        <v>19.166666666666654</v>
      </c>
      <c r="AA158" s="46">
        <f t="shared" si="26"/>
        <v>38.333333333333307</v>
      </c>
      <c r="AC158" s="44">
        <v>155</v>
      </c>
      <c r="AD158" s="46">
        <v>50</v>
      </c>
      <c r="AE158" s="46">
        <v>50</v>
      </c>
      <c r="AF158" s="46">
        <v>50</v>
      </c>
      <c r="AG158" s="46">
        <v>50</v>
      </c>
      <c r="AH158" s="46">
        <v>50</v>
      </c>
    </row>
    <row r="159" spans="1:34" ht="15.95" customHeight="1" x14ac:dyDescent="0.25">
      <c r="A159" s="29" t="s">
        <v>196</v>
      </c>
      <c r="B159" s="31">
        <v>0.17569444444444446</v>
      </c>
      <c r="C159" s="31">
        <v>0.81388888888888899</v>
      </c>
      <c r="D159" s="31">
        <v>7.9861111111111105E-2</v>
      </c>
      <c r="E159" s="31">
        <v>0.90972222222222221</v>
      </c>
      <c r="F159" s="31">
        <v>0.11944444444444445</v>
      </c>
      <c r="G159" s="31">
        <v>0.87013888888888891</v>
      </c>
      <c r="H159" s="31">
        <v>0.15138888888888888</v>
      </c>
      <c r="I159" s="31">
        <v>0.83819444444444446</v>
      </c>
      <c r="J159" s="31">
        <v>0.49444444444444446</v>
      </c>
      <c r="K159" s="30">
        <f>((K186-K156)/30)+K158</f>
        <v>79.199999999999989</v>
      </c>
      <c r="L159" s="30">
        <f>((L186-L156)/30)+L158</f>
        <v>65.600000000000009</v>
      </c>
      <c r="M159" s="90">
        <v>66.919999999999987</v>
      </c>
      <c r="N159" s="89">
        <f t="shared" si="29"/>
        <v>36.799999999999997</v>
      </c>
      <c r="O159" s="106">
        <f t="shared" si="30"/>
        <v>35.699999999999996</v>
      </c>
      <c r="P159" s="108">
        <v>50.359999999999992</v>
      </c>
      <c r="Q159" s="108">
        <v>9.9</v>
      </c>
      <c r="R159" s="107">
        <v>30.899999999999995</v>
      </c>
      <c r="S159" s="41" t="s">
        <v>431</v>
      </c>
      <c r="T159" s="41" t="s">
        <v>433</v>
      </c>
      <c r="U159" s="33"/>
      <c r="V159" s="44">
        <v>156</v>
      </c>
      <c r="W159" s="46">
        <f t="shared" si="24"/>
        <v>7.5000000000000018</v>
      </c>
      <c r="X159" s="46">
        <f t="shared" si="22"/>
        <v>11.454545454545483</v>
      </c>
      <c r="Y159" s="46">
        <f t="shared" si="23"/>
        <v>15.499999999999989</v>
      </c>
      <c r="Z159" s="46">
        <f t="shared" si="25"/>
        <v>19.333333333333321</v>
      </c>
      <c r="AA159" s="46">
        <f t="shared" si="26"/>
        <v>38.666666666666643</v>
      </c>
      <c r="AC159" s="44">
        <v>156</v>
      </c>
      <c r="AD159" s="46">
        <v>50</v>
      </c>
      <c r="AE159" s="46">
        <v>50</v>
      </c>
      <c r="AF159" s="46">
        <v>50</v>
      </c>
      <c r="AG159" s="46">
        <v>50</v>
      </c>
      <c r="AH159" s="46">
        <v>50</v>
      </c>
    </row>
    <row r="160" spans="1:34" ht="15.95" customHeight="1" x14ac:dyDescent="0.25">
      <c r="A160" s="29" t="s">
        <v>197</v>
      </c>
      <c r="B160" s="31">
        <v>0.17569444444444446</v>
      </c>
      <c r="C160" s="31">
        <v>0.81388888888888899</v>
      </c>
      <c r="D160" s="31">
        <v>7.9166666666666663E-2</v>
      </c>
      <c r="E160" s="31">
        <v>0.91111111111111109</v>
      </c>
      <c r="F160" s="31">
        <v>0.11875000000000001</v>
      </c>
      <c r="G160" s="31">
        <v>0.87083333333333324</v>
      </c>
      <c r="H160" s="31">
        <v>0.15069444444444444</v>
      </c>
      <c r="I160" s="31">
        <v>0.83888888888888891</v>
      </c>
      <c r="J160" s="31">
        <v>0.49444444444444446</v>
      </c>
      <c r="K160" s="30">
        <f>((K186-K156)/30)+K159</f>
        <v>79.266666666666652</v>
      </c>
      <c r="L160" s="30">
        <f>((L186-L156)/30)+L159</f>
        <v>65.800000000000011</v>
      </c>
      <c r="M160" s="90">
        <v>67.159999999999982</v>
      </c>
      <c r="N160" s="89">
        <f t="shared" si="29"/>
        <v>36.199999999999996</v>
      </c>
      <c r="O160" s="106">
        <f t="shared" si="30"/>
        <v>35.599999999999994</v>
      </c>
      <c r="P160" s="108">
        <v>50.47999999999999</v>
      </c>
      <c r="Q160" s="108">
        <v>9.8666666666666671</v>
      </c>
      <c r="R160" s="107">
        <v>30.86666666666666</v>
      </c>
      <c r="S160" s="41" t="s">
        <v>431</v>
      </c>
      <c r="T160" s="41" t="s">
        <v>433</v>
      </c>
      <c r="U160" s="33"/>
      <c r="V160" s="44">
        <v>157</v>
      </c>
      <c r="W160" s="46">
        <f t="shared" si="24"/>
        <v>7.5625000000000018</v>
      </c>
      <c r="X160" s="46">
        <f t="shared" si="22"/>
        <v>11.545454545454575</v>
      </c>
      <c r="Y160" s="46">
        <f t="shared" si="23"/>
        <v>15.624999999999989</v>
      </c>
      <c r="Z160" s="46">
        <f t="shared" si="25"/>
        <v>19.499999999999989</v>
      </c>
      <c r="AA160" s="46">
        <f t="shared" si="26"/>
        <v>38.999999999999979</v>
      </c>
      <c r="AC160" s="44">
        <v>157</v>
      </c>
      <c r="AD160" s="46">
        <v>50</v>
      </c>
      <c r="AE160" s="46">
        <v>50</v>
      </c>
      <c r="AF160" s="46">
        <v>50</v>
      </c>
      <c r="AG160" s="46">
        <v>50</v>
      </c>
      <c r="AH160" s="46">
        <v>50</v>
      </c>
    </row>
    <row r="161" spans="1:34" ht="15.95" customHeight="1" x14ac:dyDescent="0.25">
      <c r="A161" s="29" t="s">
        <v>198</v>
      </c>
      <c r="B161" s="31">
        <v>0.17500000000000002</v>
      </c>
      <c r="C161" s="31">
        <v>0.81458333333333333</v>
      </c>
      <c r="D161" s="31">
        <v>7.8472222222222221E-2</v>
      </c>
      <c r="E161" s="31">
        <v>0.91180555555555554</v>
      </c>
      <c r="F161" s="31">
        <v>0.11805555555555557</v>
      </c>
      <c r="G161" s="31">
        <v>0.87152777777777779</v>
      </c>
      <c r="H161" s="31">
        <v>0.15069444444444444</v>
      </c>
      <c r="I161" s="31">
        <v>0.83958333333333324</v>
      </c>
      <c r="J161" s="31">
        <v>0.49444444444444446</v>
      </c>
      <c r="K161" s="30">
        <f>((K186-K156)/30)+K160</f>
        <v>79.333333333333314</v>
      </c>
      <c r="L161" s="30">
        <f>((L186-L156)/30)+L160</f>
        <v>66.000000000000014</v>
      </c>
      <c r="M161" s="90">
        <v>67.399999999999977</v>
      </c>
      <c r="N161" s="89">
        <f t="shared" si="29"/>
        <v>35.599999999999994</v>
      </c>
      <c r="O161" s="106">
        <f t="shared" si="30"/>
        <v>35.499999999999993</v>
      </c>
      <c r="P161" s="108">
        <v>50.599999999999987</v>
      </c>
      <c r="Q161" s="108">
        <v>9.8333333333333339</v>
      </c>
      <c r="R161" s="107">
        <v>30.833333333333325</v>
      </c>
      <c r="S161" s="41" t="s">
        <v>431</v>
      </c>
      <c r="T161" s="41" t="s">
        <v>433</v>
      </c>
      <c r="U161" s="33"/>
      <c r="V161" s="44">
        <v>158</v>
      </c>
      <c r="W161" s="46">
        <f t="shared" si="24"/>
        <v>7.6250000000000018</v>
      </c>
      <c r="X161" s="46">
        <f t="shared" si="22"/>
        <v>11.636363636363667</v>
      </c>
      <c r="Y161" s="46">
        <f t="shared" si="23"/>
        <v>15.749999999999989</v>
      </c>
      <c r="Z161" s="46">
        <f t="shared" si="25"/>
        <v>19.666666666666657</v>
      </c>
      <c r="AA161" s="46">
        <f t="shared" si="26"/>
        <v>39.333333333333314</v>
      </c>
      <c r="AC161" s="44">
        <v>158</v>
      </c>
      <c r="AD161" s="46">
        <v>50</v>
      </c>
      <c r="AE161" s="46">
        <v>50</v>
      </c>
      <c r="AF161" s="46">
        <v>50</v>
      </c>
      <c r="AG161" s="46">
        <v>50</v>
      </c>
      <c r="AH161" s="46">
        <v>50</v>
      </c>
    </row>
    <row r="162" spans="1:34" ht="15.95" customHeight="1" x14ac:dyDescent="0.25">
      <c r="A162" s="29" t="s">
        <v>199</v>
      </c>
      <c r="B162" s="31">
        <v>0.17500000000000002</v>
      </c>
      <c r="C162" s="31">
        <v>0.81527777777777777</v>
      </c>
      <c r="D162" s="31">
        <v>7.7777777777777779E-2</v>
      </c>
      <c r="E162" s="31">
        <v>0.91249999999999998</v>
      </c>
      <c r="F162" s="31">
        <v>0.11805555555555557</v>
      </c>
      <c r="G162" s="31">
        <v>0.87222222222222223</v>
      </c>
      <c r="H162" s="31">
        <v>0.15</v>
      </c>
      <c r="I162" s="31">
        <v>0.83958333333333324</v>
      </c>
      <c r="J162" s="31">
        <v>0.49513888888888885</v>
      </c>
      <c r="K162" s="30">
        <f>((K186-K156)/30)+K161</f>
        <v>79.399999999999977</v>
      </c>
      <c r="L162" s="30">
        <f>((L186-L156)/30)+L161</f>
        <v>66.200000000000017</v>
      </c>
      <c r="M162" s="90">
        <v>67.639999999999972</v>
      </c>
      <c r="N162" s="89">
        <f t="shared" si="29"/>
        <v>34.999999999999993</v>
      </c>
      <c r="O162" s="106">
        <f t="shared" si="30"/>
        <v>35.399999999999991</v>
      </c>
      <c r="P162" s="108">
        <v>50.719999999999985</v>
      </c>
      <c r="Q162" s="108">
        <v>9.8000000000000007</v>
      </c>
      <c r="R162" s="107">
        <v>30.79999999999999</v>
      </c>
      <c r="S162" s="41" t="s">
        <v>431</v>
      </c>
      <c r="T162" s="41" t="s">
        <v>433</v>
      </c>
      <c r="U162" s="33"/>
      <c r="V162" s="44">
        <v>159</v>
      </c>
      <c r="W162" s="46">
        <f t="shared" si="24"/>
        <v>7.6875000000000018</v>
      </c>
      <c r="X162" s="46">
        <f t="shared" si="22"/>
        <v>11.727272727272759</v>
      </c>
      <c r="Y162" s="46">
        <f t="shared" si="23"/>
        <v>15.874999999999989</v>
      </c>
      <c r="Z162" s="46">
        <f t="shared" si="25"/>
        <v>19.833333333333325</v>
      </c>
      <c r="AA162" s="46">
        <f t="shared" si="26"/>
        <v>39.66666666666665</v>
      </c>
      <c r="AC162" s="44">
        <v>159</v>
      </c>
      <c r="AD162" s="46">
        <v>50</v>
      </c>
      <c r="AE162" s="46">
        <v>50</v>
      </c>
      <c r="AF162" s="46">
        <v>50</v>
      </c>
      <c r="AG162" s="46">
        <v>50</v>
      </c>
      <c r="AH162" s="46">
        <v>50</v>
      </c>
    </row>
    <row r="163" spans="1:34" ht="15.95" customHeight="1" x14ac:dyDescent="0.25">
      <c r="A163" s="29" t="s">
        <v>200</v>
      </c>
      <c r="B163" s="31">
        <v>0.17500000000000002</v>
      </c>
      <c r="C163" s="31">
        <v>0.81527777777777777</v>
      </c>
      <c r="D163" s="31">
        <v>7.7083333333333337E-2</v>
      </c>
      <c r="E163" s="31">
        <v>0.91319444444444453</v>
      </c>
      <c r="F163" s="31">
        <v>0.1173611111111111</v>
      </c>
      <c r="G163" s="31">
        <v>0.87291666666666667</v>
      </c>
      <c r="H163" s="31">
        <v>0.15</v>
      </c>
      <c r="I163" s="31">
        <v>0.84027777777777779</v>
      </c>
      <c r="J163" s="31">
        <v>0.49513888888888885</v>
      </c>
      <c r="K163" s="30">
        <f>((K186-K156)/30)+K162</f>
        <v>79.46666666666664</v>
      </c>
      <c r="L163" s="30">
        <f>((L186-L156)/30)+L162</f>
        <v>66.40000000000002</v>
      </c>
      <c r="M163" s="90">
        <v>67.879999999999967</v>
      </c>
      <c r="N163" s="89">
        <f t="shared" si="29"/>
        <v>34.399999999999991</v>
      </c>
      <c r="O163" s="106">
        <f t="shared" si="30"/>
        <v>35.29999999999999</v>
      </c>
      <c r="P163" s="108">
        <v>50.839999999999982</v>
      </c>
      <c r="Q163" s="108">
        <v>9.7666666666666675</v>
      </c>
      <c r="R163" s="107">
        <v>30.766666666666655</v>
      </c>
      <c r="S163" s="41" t="s">
        <v>431</v>
      </c>
      <c r="T163" s="41" t="s">
        <v>433</v>
      </c>
      <c r="U163" s="33"/>
      <c r="V163" s="44">
        <v>160</v>
      </c>
      <c r="W163" s="46">
        <f t="shared" si="24"/>
        <v>7.7500000000000018</v>
      </c>
      <c r="X163" s="46">
        <f t="shared" si="22"/>
        <v>11.81818181818185</v>
      </c>
      <c r="Y163" s="46">
        <f t="shared" si="23"/>
        <v>15.999999999999989</v>
      </c>
      <c r="Z163" s="46">
        <f t="shared" si="25"/>
        <v>19.999999999999993</v>
      </c>
      <c r="AA163" s="46">
        <f t="shared" si="26"/>
        <v>39.999999999999986</v>
      </c>
      <c r="AC163" s="44">
        <v>160</v>
      </c>
      <c r="AD163" s="46">
        <v>50</v>
      </c>
      <c r="AE163" s="46">
        <v>50</v>
      </c>
      <c r="AF163" s="46">
        <v>50</v>
      </c>
      <c r="AG163" s="46">
        <v>50</v>
      </c>
      <c r="AH163" s="46">
        <v>50</v>
      </c>
    </row>
    <row r="164" spans="1:34" ht="15.95" customHeight="1" x14ac:dyDescent="0.25">
      <c r="A164" s="29" t="s">
        <v>201</v>
      </c>
      <c r="B164" s="31">
        <v>0.17500000000000002</v>
      </c>
      <c r="C164" s="31">
        <v>0.81597222222222221</v>
      </c>
      <c r="D164" s="31">
        <v>7.7083333333333337E-2</v>
      </c>
      <c r="E164" s="31">
        <v>0.91388888888888886</v>
      </c>
      <c r="F164" s="31">
        <v>0.1173611111111111</v>
      </c>
      <c r="G164" s="31">
        <v>0.87291666666666667</v>
      </c>
      <c r="H164" s="31">
        <v>0.15</v>
      </c>
      <c r="I164" s="31">
        <v>0.84097222222222223</v>
      </c>
      <c r="J164" s="31">
        <v>0.49513888888888885</v>
      </c>
      <c r="K164" s="30">
        <f>((K186-K156)/30)+K163</f>
        <v>79.533333333333303</v>
      </c>
      <c r="L164" s="30">
        <f>((L186-L156)/30)+L163</f>
        <v>66.600000000000023</v>
      </c>
      <c r="M164" s="90">
        <v>68.119999999999962</v>
      </c>
      <c r="N164" s="89">
        <f t="shared" si="29"/>
        <v>33.79999999999999</v>
      </c>
      <c r="O164" s="106">
        <f t="shared" si="30"/>
        <v>35.199999999999989</v>
      </c>
      <c r="P164" s="108">
        <v>50.95999999999998</v>
      </c>
      <c r="Q164" s="108">
        <v>9.7333333333333343</v>
      </c>
      <c r="R164" s="107">
        <v>30.73333333333332</v>
      </c>
      <c r="S164" s="41" t="s">
        <v>431</v>
      </c>
      <c r="T164" s="41" t="s">
        <v>433</v>
      </c>
      <c r="U164" s="33"/>
      <c r="V164" s="44">
        <v>161</v>
      </c>
      <c r="W164" s="46">
        <f t="shared" si="24"/>
        <v>7.8125000000000018</v>
      </c>
      <c r="X164" s="46">
        <f t="shared" si="22"/>
        <v>11.909090909090942</v>
      </c>
      <c r="Y164" s="46">
        <f t="shared" si="23"/>
        <v>16.124999999999989</v>
      </c>
      <c r="Z164" s="46">
        <f>Z163+(1/3)</f>
        <v>20.333333333333325</v>
      </c>
      <c r="AA164" s="46">
        <v>41</v>
      </c>
      <c r="AC164" s="44">
        <v>161</v>
      </c>
      <c r="AD164" s="46">
        <v>50</v>
      </c>
      <c r="AE164" s="46">
        <v>50</v>
      </c>
      <c r="AF164" s="46">
        <v>50</v>
      </c>
      <c r="AG164" s="46">
        <v>50</v>
      </c>
      <c r="AH164" s="46">
        <v>50</v>
      </c>
    </row>
    <row r="165" spans="1:34" ht="15.95" customHeight="1" x14ac:dyDescent="0.25">
      <c r="A165" s="29" t="s">
        <v>202</v>
      </c>
      <c r="B165" s="31">
        <v>0.17430555555555557</v>
      </c>
      <c r="C165" s="31">
        <v>0.81597222222222221</v>
      </c>
      <c r="D165" s="31">
        <v>7.6388888888888895E-2</v>
      </c>
      <c r="E165" s="31">
        <v>0.9145833333333333</v>
      </c>
      <c r="F165" s="31">
        <v>0.1173611111111111</v>
      </c>
      <c r="G165" s="31">
        <v>0.87361111111111101</v>
      </c>
      <c r="H165" s="31">
        <v>0.15</v>
      </c>
      <c r="I165" s="31">
        <v>0.84097222222222223</v>
      </c>
      <c r="J165" s="31">
        <v>0.49513888888888885</v>
      </c>
      <c r="K165" s="30">
        <f>((K186-K156)/30)+K164</f>
        <v>79.599999999999966</v>
      </c>
      <c r="L165" s="30">
        <f>((L186-L156)/30)+L164</f>
        <v>66.800000000000026</v>
      </c>
      <c r="M165" s="90">
        <v>68.359999999999957</v>
      </c>
      <c r="N165" s="89">
        <f t="shared" si="29"/>
        <v>33.199999999999989</v>
      </c>
      <c r="O165" s="106">
        <f t="shared" si="30"/>
        <v>35.099999999999987</v>
      </c>
      <c r="P165" s="108">
        <v>51.079999999999977</v>
      </c>
      <c r="Q165" s="108">
        <v>9.7000000000000011</v>
      </c>
      <c r="R165" s="107">
        <v>30.699999999999985</v>
      </c>
      <c r="S165" s="41" t="s">
        <v>431</v>
      </c>
      <c r="T165" s="41" t="s">
        <v>433</v>
      </c>
      <c r="U165" s="33"/>
      <c r="V165" s="44">
        <v>162</v>
      </c>
      <c r="W165" s="46">
        <f t="shared" si="24"/>
        <v>7.8750000000000018</v>
      </c>
      <c r="X165" s="46">
        <f t="shared" ref="X165" si="31">X164+(1/11)</f>
        <v>12.000000000000034</v>
      </c>
      <c r="Y165" s="46">
        <f t="shared" ref="Y165:Y171" si="32">Y164+(1/8)</f>
        <v>16.249999999999989</v>
      </c>
      <c r="Z165" s="46">
        <f t="shared" ref="Z165:Z181" si="33">Z164+(1/3)</f>
        <v>20.666666666666657</v>
      </c>
      <c r="AA165" s="39">
        <v>42</v>
      </c>
      <c r="AC165" s="44">
        <v>162</v>
      </c>
      <c r="AD165" s="46">
        <v>50</v>
      </c>
      <c r="AE165" s="46">
        <v>50</v>
      </c>
      <c r="AF165" s="46">
        <v>50</v>
      </c>
      <c r="AG165" s="46">
        <v>50</v>
      </c>
      <c r="AH165" s="46">
        <v>50</v>
      </c>
    </row>
    <row r="166" spans="1:34" ht="15.95" customHeight="1" x14ac:dyDescent="0.25">
      <c r="A166" s="29" t="s">
        <v>203</v>
      </c>
      <c r="B166" s="31">
        <v>0.17430555555555557</v>
      </c>
      <c r="C166" s="31">
        <v>0.81666666666666676</v>
      </c>
      <c r="D166" s="31">
        <v>7.5694444444444439E-2</v>
      </c>
      <c r="E166" s="31">
        <v>0.91527777777777775</v>
      </c>
      <c r="F166" s="31">
        <v>0.11666666666666665</v>
      </c>
      <c r="G166" s="31">
        <v>0.87430555555555556</v>
      </c>
      <c r="H166" s="31">
        <v>0.14930555555555555</v>
      </c>
      <c r="I166" s="31">
        <v>0.84166666666666667</v>
      </c>
      <c r="J166" s="31">
        <v>0.49513888888888885</v>
      </c>
      <c r="K166" s="30">
        <f>((K186-K156)/30)+K165</f>
        <v>79.666666666666629</v>
      </c>
      <c r="L166" s="30">
        <f>((L186-L156)/30)+L165</f>
        <v>67.000000000000028</v>
      </c>
      <c r="M166" s="90">
        <v>68.599999999999952</v>
      </c>
      <c r="N166" s="89">
        <f t="shared" si="29"/>
        <v>32.599999999999987</v>
      </c>
      <c r="O166" s="106">
        <f t="shared" si="30"/>
        <v>34.999999999999986</v>
      </c>
      <c r="P166" s="108">
        <v>51.199999999999974</v>
      </c>
      <c r="Q166" s="108">
        <v>9.6666666666666679</v>
      </c>
      <c r="R166" s="107">
        <v>30.66666666666665</v>
      </c>
      <c r="S166" s="41" t="s">
        <v>431</v>
      </c>
      <c r="T166" s="41" t="s">
        <v>433</v>
      </c>
      <c r="U166" s="33"/>
      <c r="V166" s="44">
        <v>163</v>
      </c>
      <c r="W166" s="46">
        <f t="shared" si="24"/>
        <v>7.9375000000000018</v>
      </c>
      <c r="X166" s="46">
        <f>X165+(1/5)</f>
        <v>12.200000000000033</v>
      </c>
      <c r="Y166" s="46">
        <f t="shared" si="32"/>
        <v>16.374999999999989</v>
      </c>
      <c r="Z166" s="46">
        <f t="shared" si="33"/>
        <v>20.999999999999989</v>
      </c>
      <c r="AA166" s="39">
        <v>43</v>
      </c>
      <c r="AC166" s="44">
        <v>163</v>
      </c>
      <c r="AD166" s="46">
        <v>50</v>
      </c>
      <c r="AE166" s="46">
        <v>50</v>
      </c>
      <c r="AF166" s="46">
        <v>50</v>
      </c>
      <c r="AG166" s="46">
        <v>50</v>
      </c>
      <c r="AH166" s="46">
        <v>50</v>
      </c>
    </row>
    <row r="167" spans="1:34" ht="15.95" customHeight="1" x14ac:dyDescent="0.25">
      <c r="A167" s="29" t="s">
        <v>204</v>
      </c>
      <c r="B167" s="31">
        <v>0.17430555555555557</v>
      </c>
      <c r="C167" s="31">
        <v>0.81666666666666676</v>
      </c>
      <c r="D167" s="31">
        <v>7.5694444444444439E-2</v>
      </c>
      <c r="E167" s="31">
        <v>0.9159722222222223</v>
      </c>
      <c r="F167" s="31">
        <v>0.11666666666666665</v>
      </c>
      <c r="G167" s="31">
        <v>0.87430555555555556</v>
      </c>
      <c r="H167" s="31">
        <v>0.14930555555555555</v>
      </c>
      <c r="I167" s="31">
        <v>0.84166666666666667</v>
      </c>
      <c r="J167" s="31">
        <v>0.49583333333333335</v>
      </c>
      <c r="K167" s="30">
        <f>((K186-K156)/30)+K166</f>
        <v>79.733333333333292</v>
      </c>
      <c r="L167" s="30">
        <f>((L186-L156)/30)+L166</f>
        <v>67.200000000000031</v>
      </c>
      <c r="M167" s="90">
        <v>68.839999999999947</v>
      </c>
      <c r="N167" s="89">
        <f t="shared" si="29"/>
        <v>31.999999999999986</v>
      </c>
      <c r="O167" s="106">
        <f t="shared" si="30"/>
        <v>34.899999999999984</v>
      </c>
      <c r="P167" s="108">
        <v>51.319999999999972</v>
      </c>
      <c r="Q167" s="108">
        <v>9.6333333333333346</v>
      </c>
      <c r="R167" s="107">
        <v>30.633333333333315</v>
      </c>
      <c r="S167" s="41" t="s">
        <v>431</v>
      </c>
      <c r="T167" s="41" t="s">
        <v>433</v>
      </c>
      <c r="U167" s="33"/>
      <c r="V167" s="44">
        <v>164</v>
      </c>
      <c r="W167" s="46">
        <f t="shared" si="24"/>
        <v>8.0000000000000018</v>
      </c>
      <c r="X167" s="46">
        <f t="shared" ref="X167:X190" si="34">X166+(1/5)</f>
        <v>12.400000000000032</v>
      </c>
      <c r="Y167" s="46">
        <f t="shared" si="32"/>
        <v>16.499999999999989</v>
      </c>
      <c r="Z167" s="46">
        <f t="shared" si="33"/>
        <v>21.333333333333321</v>
      </c>
      <c r="AA167" s="39">
        <v>44</v>
      </c>
      <c r="AC167" s="44">
        <v>164</v>
      </c>
      <c r="AD167" s="46">
        <v>50</v>
      </c>
      <c r="AE167" s="46">
        <v>50</v>
      </c>
      <c r="AF167" s="46">
        <v>50</v>
      </c>
      <c r="AG167" s="46">
        <v>50</v>
      </c>
      <c r="AH167" s="46">
        <v>50</v>
      </c>
    </row>
    <row r="168" spans="1:34" ht="15.95" customHeight="1" x14ac:dyDescent="0.25">
      <c r="A168" s="29" t="s">
        <v>205</v>
      </c>
      <c r="B168" s="31">
        <v>0.17430555555555557</v>
      </c>
      <c r="C168" s="31">
        <v>0.81736111111111109</v>
      </c>
      <c r="D168" s="31">
        <v>7.5694444444444439E-2</v>
      </c>
      <c r="E168" s="31">
        <v>0.91666666666666663</v>
      </c>
      <c r="F168" s="31">
        <v>0.11666666666666665</v>
      </c>
      <c r="G168" s="31">
        <v>0.875</v>
      </c>
      <c r="H168" s="31">
        <v>0.14930555555555555</v>
      </c>
      <c r="I168" s="31">
        <v>0.84236111111111101</v>
      </c>
      <c r="J168" s="31">
        <v>0.49583333333333335</v>
      </c>
      <c r="K168" s="30">
        <f>((K186-K156)/30)+K167</f>
        <v>79.799999999999955</v>
      </c>
      <c r="L168" s="30">
        <f>((L186-L156)/30)+L167</f>
        <v>67.400000000000034</v>
      </c>
      <c r="M168" s="90">
        <v>69.079999999999941</v>
      </c>
      <c r="N168" s="89">
        <f t="shared" si="29"/>
        <v>31.399999999999984</v>
      </c>
      <c r="O168" s="106">
        <f t="shared" si="30"/>
        <v>34.799999999999983</v>
      </c>
      <c r="P168" s="108">
        <v>51.439999999999969</v>
      </c>
      <c r="Q168" s="108">
        <v>9.6000000000000014</v>
      </c>
      <c r="R168" s="107">
        <v>30.59999999999998</v>
      </c>
      <c r="S168" s="41" t="s">
        <v>431</v>
      </c>
      <c r="T168" s="41" t="s">
        <v>433</v>
      </c>
      <c r="U168" s="33"/>
      <c r="V168" s="44">
        <v>165</v>
      </c>
      <c r="W168" s="46">
        <f>W167+(1/9)</f>
        <v>8.1111111111111125</v>
      </c>
      <c r="X168" s="46">
        <f t="shared" si="34"/>
        <v>12.600000000000032</v>
      </c>
      <c r="Y168" s="46">
        <f t="shared" si="32"/>
        <v>16.624999999999989</v>
      </c>
      <c r="Z168" s="46">
        <f t="shared" si="33"/>
        <v>21.666666666666654</v>
      </c>
      <c r="AA168" s="39">
        <v>45</v>
      </c>
      <c r="AC168" s="44">
        <v>165</v>
      </c>
      <c r="AD168" s="46">
        <v>50</v>
      </c>
      <c r="AE168" s="46">
        <v>50</v>
      </c>
      <c r="AF168" s="46">
        <v>50</v>
      </c>
      <c r="AG168" s="46">
        <v>50</v>
      </c>
      <c r="AH168" s="46">
        <v>50</v>
      </c>
    </row>
    <row r="169" spans="1:34" ht="15.95" customHeight="1" x14ac:dyDescent="0.25">
      <c r="A169" s="29" t="s">
        <v>206</v>
      </c>
      <c r="B169" s="31">
        <v>0.17430555555555557</v>
      </c>
      <c r="C169" s="31">
        <v>0.81736111111111109</v>
      </c>
      <c r="D169" s="31">
        <v>7.4999999999999997E-2</v>
      </c>
      <c r="E169" s="31">
        <v>0.91666666666666663</v>
      </c>
      <c r="F169" s="31">
        <v>0.11666666666666665</v>
      </c>
      <c r="G169" s="31">
        <v>0.87569444444444444</v>
      </c>
      <c r="H169" s="31">
        <v>0.14930555555555555</v>
      </c>
      <c r="I169" s="31">
        <v>0.84236111111111101</v>
      </c>
      <c r="J169" s="31">
        <v>0.49583333333333335</v>
      </c>
      <c r="K169" s="30">
        <f>((K186-K156)/30)+K168</f>
        <v>79.866666666666617</v>
      </c>
      <c r="L169" s="30">
        <f>((L186-L156)/30)+L168</f>
        <v>67.600000000000037</v>
      </c>
      <c r="M169" s="90">
        <v>69.319999999999936</v>
      </c>
      <c r="N169" s="89">
        <f t="shared" si="29"/>
        <v>30.799999999999983</v>
      </c>
      <c r="O169" s="106">
        <f t="shared" si="30"/>
        <v>34.699999999999982</v>
      </c>
      <c r="P169" s="108">
        <v>51.559999999999967</v>
      </c>
      <c r="Q169" s="108">
        <v>9.5666666666666682</v>
      </c>
      <c r="R169" s="107">
        <v>30.566666666666645</v>
      </c>
      <c r="S169" s="41" t="s">
        <v>431</v>
      </c>
      <c r="T169" s="41" t="s">
        <v>433</v>
      </c>
      <c r="U169" s="33"/>
      <c r="V169" s="44">
        <v>166</v>
      </c>
      <c r="W169" s="46">
        <f t="shared" ref="W169:W185" si="35">W168+(1/9)</f>
        <v>8.2222222222222232</v>
      </c>
      <c r="X169" s="46">
        <f t="shared" si="34"/>
        <v>12.800000000000031</v>
      </c>
      <c r="Y169" s="46">
        <f t="shared" si="32"/>
        <v>16.749999999999989</v>
      </c>
      <c r="Z169" s="46">
        <f t="shared" si="33"/>
        <v>21.999999999999986</v>
      </c>
      <c r="AA169" s="39">
        <v>46</v>
      </c>
      <c r="AC169" s="44">
        <v>166</v>
      </c>
      <c r="AD169" s="46">
        <v>50</v>
      </c>
      <c r="AE169" s="46">
        <v>50</v>
      </c>
      <c r="AF169" s="46">
        <v>50</v>
      </c>
      <c r="AG169" s="46">
        <v>50</v>
      </c>
      <c r="AH169" s="46">
        <v>50</v>
      </c>
    </row>
    <row r="170" spans="1:34" ht="15.95" customHeight="1" x14ac:dyDescent="0.25">
      <c r="A170" s="29" t="s">
        <v>207</v>
      </c>
      <c r="B170" s="31">
        <v>0.17430555555555557</v>
      </c>
      <c r="C170" s="31">
        <v>0.81805555555555554</v>
      </c>
      <c r="D170" s="31">
        <v>7.4999999999999997E-2</v>
      </c>
      <c r="E170" s="31">
        <v>0.91736111111111107</v>
      </c>
      <c r="F170" s="31">
        <v>0.11666666666666665</v>
      </c>
      <c r="G170" s="31">
        <v>0.87569444444444444</v>
      </c>
      <c r="H170" s="31">
        <v>0.14930555555555555</v>
      </c>
      <c r="I170" s="31">
        <v>0.84305555555555556</v>
      </c>
      <c r="J170" s="31">
        <v>0.49583333333333335</v>
      </c>
      <c r="K170" s="30">
        <f>((K186-K156)/30)+K169</f>
        <v>79.93333333333328</v>
      </c>
      <c r="L170" s="30">
        <f>((L186-L156)/30)+L169</f>
        <v>67.80000000000004</v>
      </c>
      <c r="M170" s="90">
        <v>69.559999999999931</v>
      </c>
      <c r="N170" s="89">
        <f t="shared" si="29"/>
        <v>30.199999999999982</v>
      </c>
      <c r="O170" s="106">
        <f t="shared" si="30"/>
        <v>34.59999999999998</v>
      </c>
      <c r="P170" s="108">
        <v>51.679999999999964</v>
      </c>
      <c r="Q170" s="108">
        <v>9.533333333333335</v>
      </c>
      <c r="R170" s="107">
        <v>30.53333333333331</v>
      </c>
      <c r="S170" s="41" t="s">
        <v>431</v>
      </c>
      <c r="T170" s="41" t="s">
        <v>433</v>
      </c>
      <c r="U170" s="33"/>
      <c r="V170" s="44">
        <v>167</v>
      </c>
      <c r="W170" s="46">
        <f t="shared" si="35"/>
        <v>8.3333333333333339</v>
      </c>
      <c r="X170" s="46">
        <f t="shared" si="34"/>
        <v>13.00000000000003</v>
      </c>
      <c r="Y170" s="46">
        <f t="shared" si="32"/>
        <v>16.874999999999989</v>
      </c>
      <c r="Z170" s="46">
        <f t="shared" si="33"/>
        <v>22.333333333333318</v>
      </c>
      <c r="AA170" s="39">
        <v>47</v>
      </c>
      <c r="AC170" s="44">
        <v>167</v>
      </c>
      <c r="AD170" s="46">
        <v>50</v>
      </c>
      <c r="AE170" s="46">
        <v>50</v>
      </c>
      <c r="AF170" s="46">
        <v>50</v>
      </c>
      <c r="AG170" s="46">
        <v>50</v>
      </c>
      <c r="AH170" s="46">
        <v>50</v>
      </c>
    </row>
    <row r="171" spans="1:34" ht="15.95" customHeight="1" x14ac:dyDescent="0.25">
      <c r="A171" s="29" t="s">
        <v>208</v>
      </c>
      <c r="B171" s="31">
        <v>0.17430555555555557</v>
      </c>
      <c r="C171" s="31">
        <v>0.81805555555555554</v>
      </c>
      <c r="D171" s="31">
        <v>7.4999999999999997E-2</v>
      </c>
      <c r="E171" s="31">
        <v>0.91805555555555562</v>
      </c>
      <c r="F171" s="31">
        <v>0.11666666666666665</v>
      </c>
      <c r="G171" s="31">
        <v>0.87638888888888899</v>
      </c>
      <c r="H171" s="31">
        <v>0.14930555555555555</v>
      </c>
      <c r="I171" s="31">
        <v>0.84305555555555556</v>
      </c>
      <c r="J171" s="31">
        <v>0.49583333333333335</v>
      </c>
      <c r="K171" s="30">
        <f>((K186-K156)/30)+K170</f>
        <v>79.999999999999943</v>
      </c>
      <c r="L171" s="30">
        <f>((L186-L156)/30)+L170</f>
        <v>68.000000000000043</v>
      </c>
      <c r="M171" s="90">
        <v>69.799999999999926</v>
      </c>
      <c r="N171" s="89">
        <f t="shared" si="29"/>
        <v>29.59999999999998</v>
      </c>
      <c r="O171" s="106">
        <f t="shared" si="30"/>
        <v>34.499999999999979</v>
      </c>
      <c r="P171" s="108">
        <v>51.799999999999962</v>
      </c>
      <c r="Q171" s="108">
        <v>9.5000000000000018</v>
      </c>
      <c r="R171" s="107">
        <v>30.499999999999975</v>
      </c>
      <c r="S171" s="41" t="s">
        <v>431</v>
      </c>
      <c r="T171" s="41" t="s">
        <v>433</v>
      </c>
      <c r="U171" s="33"/>
      <c r="V171" s="44">
        <v>168</v>
      </c>
      <c r="W171" s="46">
        <f t="shared" si="35"/>
        <v>8.4444444444444446</v>
      </c>
      <c r="X171" s="46">
        <f t="shared" si="34"/>
        <v>13.200000000000029</v>
      </c>
      <c r="Y171" s="46">
        <f t="shared" si="32"/>
        <v>16.999999999999989</v>
      </c>
      <c r="Z171" s="46">
        <f t="shared" si="33"/>
        <v>22.66666666666665</v>
      </c>
      <c r="AA171" s="39">
        <v>48</v>
      </c>
      <c r="AC171" s="44">
        <v>168</v>
      </c>
      <c r="AD171" s="46">
        <v>50</v>
      </c>
      <c r="AE171" s="46">
        <v>50</v>
      </c>
      <c r="AF171" s="46">
        <v>50</v>
      </c>
      <c r="AG171" s="46">
        <v>50</v>
      </c>
      <c r="AH171" s="46">
        <v>50</v>
      </c>
    </row>
    <row r="172" spans="1:34" ht="15.95" customHeight="1" x14ac:dyDescent="0.25">
      <c r="A172" s="29" t="s">
        <v>209</v>
      </c>
      <c r="B172" s="31">
        <v>0.17430555555555557</v>
      </c>
      <c r="C172" s="31">
        <v>0.81805555555555554</v>
      </c>
      <c r="D172" s="31">
        <v>7.4999999999999997E-2</v>
      </c>
      <c r="E172" s="31">
        <v>0.91805555555555562</v>
      </c>
      <c r="F172" s="31">
        <v>0.11666666666666665</v>
      </c>
      <c r="G172" s="31">
        <v>0.87638888888888899</v>
      </c>
      <c r="H172" s="31">
        <v>0.14930555555555555</v>
      </c>
      <c r="I172" s="31">
        <v>0.84375</v>
      </c>
      <c r="J172" s="31">
        <v>0.49652777777777773</v>
      </c>
      <c r="K172" s="30">
        <f>((K186-K156)/30)+K171</f>
        <v>80.066666666666606</v>
      </c>
      <c r="L172" s="30">
        <f>((L186-L156)/30)+L171</f>
        <v>68.200000000000045</v>
      </c>
      <c r="M172" s="90">
        <v>70.039999999999921</v>
      </c>
      <c r="N172" s="89">
        <f t="shared" si="29"/>
        <v>28.999999999999979</v>
      </c>
      <c r="O172" s="106">
        <f t="shared" si="30"/>
        <v>34.399999999999977</v>
      </c>
      <c r="P172" s="108">
        <v>51.919999999999959</v>
      </c>
      <c r="Q172" s="108">
        <v>9.4666666666666686</v>
      </c>
      <c r="R172" s="107">
        <v>30.46666666666664</v>
      </c>
      <c r="S172" s="41" t="s">
        <v>431</v>
      </c>
      <c r="T172" s="41" t="s">
        <v>433</v>
      </c>
      <c r="U172" s="33"/>
      <c r="V172" s="44">
        <v>169</v>
      </c>
      <c r="W172" s="46">
        <f t="shared" si="35"/>
        <v>8.5555555555555554</v>
      </c>
      <c r="X172" s="46">
        <f t="shared" si="34"/>
        <v>13.400000000000029</v>
      </c>
      <c r="Y172" s="46">
        <f>Y171+(1/4)</f>
        <v>17.249999999999989</v>
      </c>
      <c r="Z172" s="46">
        <f t="shared" si="33"/>
        <v>22.999999999999982</v>
      </c>
      <c r="AA172" s="39">
        <v>49</v>
      </c>
      <c r="AC172" s="44">
        <v>169</v>
      </c>
      <c r="AD172" s="46">
        <v>50</v>
      </c>
      <c r="AE172" s="46">
        <v>50</v>
      </c>
      <c r="AF172" s="46">
        <v>50</v>
      </c>
      <c r="AG172" s="46">
        <v>50</v>
      </c>
      <c r="AH172" s="46">
        <v>50</v>
      </c>
    </row>
    <row r="173" spans="1:34" ht="15.95" customHeight="1" x14ac:dyDescent="0.25">
      <c r="A173" s="29" t="s">
        <v>210</v>
      </c>
      <c r="B173" s="31">
        <v>0.17430555555555557</v>
      </c>
      <c r="C173" s="31">
        <v>0.81874999999999998</v>
      </c>
      <c r="D173" s="31">
        <v>7.4999999999999997E-2</v>
      </c>
      <c r="E173" s="31">
        <v>0.91805555555555562</v>
      </c>
      <c r="F173" s="31">
        <v>0.11666666666666665</v>
      </c>
      <c r="G173" s="31">
        <v>0.87638888888888899</v>
      </c>
      <c r="H173" s="31">
        <v>0.14930555555555555</v>
      </c>
      <c r="I173" s="31">
        <v>0.84375</v>
      </c>
      <c r="J173" s="31">
        <v>0.49652777777777773</v>
      </c>
      <c r="K173" s="30">
        <f>((K186-K156)/30)+K172</f>
        <v>80.133333333333269</v>
      </c>
      <c r="L173" s="30">
        <f>((L186-L156)/30)+L172</f>
        <v>68.400000000000048</v>
      </c>
      <c r="M173" s="90">
        <v>70.279999999999916</v>
      </c>
      <c r="N173" s="89">
        <f t="shared" si="29"/>
        <v>28.399999999999977</v>
      </c>
      <c r="O173" s="106">
        <f t="shared" si="30"/>
        <v>34.299999999999976</v>
      </c>
      <c r="P173" s="108">
        <v>52.039999999999957</v>
      </c>
      <c r="Q173" s="108">
        <v>9.4333333333333353</v>
      </c>
      <c r="R173" s="107">
        <v>30.433333333333305</v>
      </c>
      <c r="S173" s="41" t="s">
        <v>431</v>
      </c>
      <c r="T173" s="41" t="s">
        <v>433</v>
      </c>
      <c r="U173" s="33"/>
      <c r="V173" s="44">
        <v>170</v>
      </c>
      <c r="W173" s="46">
        <f t="shared" si="35"/>
        <v>8.6666666666666661</v>
      </c>
      <c r="X173" s="46">
        <f t="shared" si="34"/>
        <v>13.600000000000028</v>
      </c>
      <c r="Y173" s="46">
        <f t="shared" ref="Y173:Y195" si="36">Y172+(1/4)</f>
        <v>17.499999999999989</v>
      </c>
      <c r="Z173" s="46">
        <f t="shared" si="33"/>
        <v>23.333333333333314</v>
      </c>
      <c r="AA173" s="39">
        <v>50</v>
      </c>
      <c r="AC173" s="44">
        <v>170</v>
      </c>
      <c r="AD173" s="46">
        <v>50</v>
      </c>
      <c r="AE173" s="46">
        <v>50</v>
      </c>
      <c r="AF173" s="46">
        <v>50</v>
      </c>
      <c r="AG173" s="46">
        <v>50</v>
      </c>
      <c r="AH173" s="46">
        <v>50</v>
      </c>
    </row>
    <row r="174" spans="1:34" ht="15.95" customHeight="1" x14ac:dyDescent="0.25">
      <c r="A174" s="29" t="s">
        <v>211</v>
      </c>
      <c r="B174" s="31">
        <v>0.17430555555555557</v>
      </c>
      <c r="C174" s="31">
        <v>0.81874999999999998</v>
      </c>
      <c r="D174" s="31">
        <v>7.4999999999999997E-2</v>
      </c>
      <c r="E174" s="31">
        <v>0.91875000000000007</v>
      </c>
      <c r="F174" s="31">
        <v>0.11666666666666665</v>
      </c>
      <c r="G174" s="31">
        <v>0.87708333333333333</v>
      </c>
      <c r="H174" s="31">
        <v>0.14930555555555555</v>
      </c>
      <c r="I174" s="31">
        <v>0.84375</v>
      </c>
      <c r="J174" s="31">
        <v>0.49652777777777773</v>
      </c>
      <c r="K174" s="30">
        <f>((K186-K156)/30)+K173</f>
        <v>80.199999999999932</v>
      </c>
      <c r="L174" s="30">
        <f>((L186-L156)/30)+L173</f>
        <v>68.600000000000051</v>
      </c>
      <c r="M174" s="90">
        <v>70.519999999999911</v>
      </c>
      <c r="N174" s="89">
        <f t="shared" si="29"/>
        <v>27.799999999999976</v>
      </c>
      <c r="O174" s="106">
        <f t="shared" si="30"/>
        <v>34.199999999999974</v>
      </c>
      <c r="P174" s="108">
        <v>52.159999999999954</v>
      </c>
      <c r="Q174" s="108">
        <v>9.4000000000000021</v>
      </c>
      <c r="R174" s="107">
        <v>30.39999999999997</v>
      </c>
      <c r="S174" s="41" t="s">
        <v>431</v>
      </c>
      <c r="T174" s="41" t="s">
        <v>433</v>
      </c>
      <c r="U174" s="33"/>
      <c r="V174" s="44">
        <v>171</v>
      </c>
      <c r="W174" s="46">
        <f t="shared" si="35"/>
        <v>8.7777777777777768</v>
      </c>
      <c r="X174" s="46">
        <f t="shared" si="34"/>
        <v>13.800000000000027</v>
      </c>
      <c r="Y174" s="46">
        <f t="shared" si="36"/>
        <v>17.749999999999989</v>
      </c>
      <c r="Z174" s="46">
        <f t="shared" si="33"/>
        <v>23.666666666666647</v>
      </c>
      <c r="AA174" s="39">
        <v>51</v>
      </c>
      <c r="AC174" s="44">
        <v>171</v>
      </c>
      <c r="AD174" s="46">
        <v>50</v>
      </c>
      <c r="AE174" s="46">
        <v>50</v>
      </c>
      <c r="AF174" s="46">
        <v>50</v>
      </c>
      <c r="AG174" s="46">
        <v>50</v>
      </c>
      <c r="AH174" s="46">
        <v>75</v>
      </c>
    </row>
    <row r="175" spans="1:34" ht="15.95" customHeight="1" x14ac:dyDescent="0.25">
      <c r="A175" s="29" t="s">
        <v>212</v>
      </c>
      <c r="B175" s="31">
        <v>0.17500000000000002</v>
      </c>
      <c r="C175" s="31">
        <v>0.81874999999999998</v>
      </c>
      <c r="D175" s="31">
        <v>7.4999999999999997E-2</v>
      </c>
      <c r="E175" s="31">
        <v>0.91875000000000007</v>
      </c>
      <c r="F175" s="31">
        <v>0.11666666666666665</v>
      </c>
      <c r="G175" s="31">
        <v>0.87708333333333333</v>
      </c>
      <c r="H175" s="31">
        <v>0.14930555555555555</v>
      </c>
      <c r="I175" s="31">
        <v>0.84375</v>
      </c>
      <c r="J175" s="31">
        <v>0.49652777777777773</v>
      </c>
      <c r="K175" s="30">
        <f>((K186-K156)/30)+K174</f>
        <v>80.266666666666595</v>
      </c>
      <c r="L175" s="30">
        <f>((L186-L156)/30)+L174</f>
        <v>68.800000000000054</v>
      </c>
      <c r="M175" s="90">
        <v>70.759999999999906</v>
      </c>
      <c r="N175" s="89">
        <f t="shared" si="29"/>
        <v>27.199999999999974</v>
      </c>
      <c r="O175" s="106">
        <f t="shared" si="30"/>
        <v>34.099999999999973</v>
      </c>
      <c r="P175" s="108">
        <v>52.279999999999951</v>
      </c>
      <c r="Q175" s="108">
        <v>9.3666666666666689</v>
      </c>
      <c r="R175" s="107">
        <v>30.366666666666635</v>
      </c>
      <c r="S175" s="41" t="s">
        <v>431</v>
      </c>
      <c r="T175" s="41" t="s">
        <v>433</v>
      </c>
      <c r="U175" s="33"/>
      <c r="V175" s="44">
        <v>172</v>
      </c>
      <c r="W175" s="46">
        <f t="shared" si="35"/>
        <v>8.8888888888888875</v>
      </c>
      <c r="X175" s="46">
        <f t="shared" si="34"/>
        <v>14.000000000000027</v>
      </c>
      <c r="Y175" s="46">
        <f t="shared" si="36"/>
        <v>17.999999999999989</v>
      </c>
      <c r="Z175" s="46">
        <f t="shared" si="33"/>
        <v>23.999999999999979</v>
      </c>
      <c r="AA175" s="39">
        <v>52</v>
      </c>
      <c r="AC175" s="44">
        <v>172</v>
      </c>
      <c r="AD175" s="46">
        <v>50</v>
      </c>
      <c r="AE175" s="46">
        <v>50</v>
      </c>
      <c r="AF175" s="46">
        <v>50</v>
      </c>
      <c r="AG175" s="46">
        <v>50</v>
      </c>
      <c r="AH175" s="46">
        <v>75</v>
      </c>
    </row>
    <row r="176" spans="1:34" ht="15.95" customHeight="1" x14ac:dyDescent="0.25">
      <c r="A176" s="29" t="s">
        <v>213</v>
      </c>
      <c r="B176" s="31">
        <v>0.17500000000000002</v>
      </c>
      <c r="C176" s="31">
        <v>0.81874999999999998</v>
      </c>
      <c r="D176" s="31">
        <v>7.4999999999999997E-2</v>
      </c>
      <c r="E176" s="31">
        <v>0.91875000000000007</v>
      </c>
      <c r="F176" s="31">
        <v>0.11666666666666665</v>
      </c>
      <c r="G176" s="31">
        <v>0.87708333333333333</v>
      </c>
      <c r="H176" s="31">
        <v>0.15</v>
      </c>
      <c r="I176" s="31">
        <v>0.84444444444444444</v>
      </c>
      <c r="J176" s="31">
        <v>0.49722222222222223</v>
      </c>
      <c r="K176" s="30">
        <f>((K186-K156)/30)+K175</f>
        <v>80.333333333333258</v>
      </c>
      <c r="L176" s="30">
        <f>((L186-L156)/30)+L175</f>
        <v>69.000000000000057</v>
      </c>
      <c r="M176" s="90">
        <v>70.999999999999901</v>
      </c>
      <c r="N176" s="89">
        <f t="shared" si="29"/>
        <v>26.599999999999973</v>
      </c>
      <c r="O176" s="106">
        <f t="shared" si="30"/>
        <v>33.999999999999972</v>
      </c>
      <c r="P176" s="108">
        <v>52.399999999999949</v>
      </c>
      <c r="Q176" s="108">
        <v>9.3333333333333357</v>
      </c>
      <c r="R176" s="107">
        <v>30.3333333333333</v>
      </c>
      <c r="S176" s="41" t="s">
        <v>431</v>
      </c>
      <c r="T176" s="41" t="s">
        <v>433</v>
      </c>
      <c r="U176" s="33"/>
      <c r="V176" s="44">
        <v>173</v>
      </c>
      <c r="W176" s="46">
        <f t="shared" si="35"/>
        <v>8.9999999999999982</v>
      </c>
      <c r="X176" s="46">
        <f t="shared" si="34"/>
        <v>14.200000000000026</v>
      </c>
      <c r="Y176" s="46">
        <f t="shared" si="36"/>
        <v>18.249999999999989</v>
      </c>
      <c r="Z176" s="46">
        <f t="shared" si="33"/>
        <v>24.333333333333311</v>
      </c>
      <c r="AA176" s="39">
        <v>53</v>
      </c>
      <c r="AC176" s="44">
        <v>173</v>
      </c>
      <c r="AD176" s="46">
        <v>50</v>
      </c>
      <c r="AE176" s="46">
        <v>50</v>
      </c>
      <c r="AF176" s="46">
        <v>50</v>
      </c>
      <c r="AG176" s="46">
        <v>50</v>
      </c>
      <c r="AH176" s="46">
        <v>75</v>
      </c>
    </row>
    <row r="177" spans="1:34" ht="15.95" customHeight="1" x14ac:dyDescent="0.25">
      <c r="A177" s="29" t="s">
        <v>214</v>
      </c>
      <c r="B177" s="31">
        <v>0.17500000000000002</v>
      </c>
      <c r="C177" s="31">
        <v>0.81944444444444453</v>
      </c>
      <c r="D177" s="31">
        <v>7.4999999999999997E-2</v>
      </c>
      <c r="E177" s="31">
        <v>0.91875000000000007</v>
      </c>
      <c r="F177" s="31">
        <v>0.11666666666666665</v>
      </c>
      <c r="G177" s="31">
        <v>0.87708333333333333</v>
      </c>
      <c r="H177" s="31">
        <v>0.15</v>
      </c>
      <c r="I177" s="31">
        <v>0.84444444444444444</v>
      </c>
      <c r="J177" s="31">
        <v>0.49722222222222223</v>
      </c>
      <c r="K177" s="30">
        <f>((K186-K156)/30)+K176</f>
        <v>80.39999999999992</v>
      </c>
      <c r="L177" s="30">
        <f>((L186-L156)/30)+L176</f>
        <v>69.20000000000006</v>
      </c>
      <c r="M177" s="90">
        <v>71.239999999999895</v>
      </c>
      <c r="N177" s="89">
        <f t="shared" si="29"/>
        <v>25.999999999999972</v>
      </c>
      <c r="O177" s="106">
        <f t="shared" si="30"/>
        <v>33.89999999999997</v>
      </c>
      <c r="P177" s="108">
        <v>52.519999999999946</v>
      </c>
      <c r="Q177" s="108">
        <v>9.3000000000000025</v>
      </c>
      <c r="R177" s="107">
        <v>30.299999999999965</v>
      </c>
      <c r="S177" s="41" t="s">
        <v>431</v>
      </c>
      <c r="T177" s="41" t="s">
        <v>433</v>
      </c>
      <c r="U177" s="33"/>
      <c r="V177" s="44">
        <v>174</v>
      </c>
      <c r="W177" s="46">
        <f t="shared" si="35"/>
        <v>9.1111111111111089</v>
      </c>
      <c r="X177" s="46">
        <f t="shared" si="34"/>
        <v>14.400000000000025</v>
      </c>
      <c r="Y177" s="46">
        <f t="shared" si="36"/>
        <v>18.499999999999989</v>
      </c>
      <c r="Z177" s="46">
        <f t="shared" si="33"/>
        <v>24.666666666666643</v>
      </c>
      <c r="AA177" s="39">
        <v>54</v>
      </c>
      <c r="AC177" s="44">
        <v>174</v>
      </c>
      <c r="AD177" s="46">
        <v>50</v>
      </c>
      <c r="AE177" s="46">
        <v>50</v>
      </c>
      <c r="AF177" s="46">
        <v>50</v>
      </c>
      <c r="AG177" s="46">
        <v>50</v>
      </c>
      <c r="AH177" s="46">
        <v>75</v>
      </c>
    </row>
    <row r="178" spans="1:34" ht="15.95" customHeight="1" x14ac:dyDescent="0.25">
      <c r="A178" s="29" t="s">
        <v>215</v>
      </c>
      <c r="B178" s="31">
        <v>0.17500000000000002</v>
      </c>
      <c r="C178" s="31">
        <v>0.81944444444444453</v>
      </c>
      <c r="D178" s="31">
        <v>7.5694444444444439E-2</v>
      </c>
      <c r="E178" s="31">
        <v>0.91875000000000007</v>
      </c>
      <c r="F178" s="31">
        <v>0.1173611111111111</v>
      </c>
      <c r="G178" s="31">
        <v>0.87708333333333333</v>
      </c>
      <c r="H178" s="31">
        <v>0.15</v>
      </c>
      <c r="I178" s="31">
        <v>0.84444444444444444</v>
      </c>
      <c r="J178" s="31">
        <v>0.49722222222222223</v>
      </c>
      <c r="K178" s="30">
        <f>((K186-K156)/30)+K177</f>
        <v>80.466666666666583</v>
      </c>
      <c r="L178" s="30">
        <f>((L186-L156)/30)+L177</f>
        <v>69.400000000000063</v>
      </c>
      <c r="M178" s="90">
        <v>71.47999999999989</v>
      </c>
      <c r="N178" s="89">
        <f t="shared" si="29"/>
        <v>25.39999999999997</v>
      </c>
      <c r="O178" s="106">
        <f t="shared" si="30"/>
        <v>33.799999999999969</v>
      </c>
      <c r="P178" s="108">
        <v>52.639999999999944</v>
      </c>
      <c r="Q178" s="108">
        <v>9.2666666666666693</v>
      </c>
      <c r="R178" s="107">
        <v>30.26666666666663</v>
      </c>
      <c r="S178" s="41" t="s">
        <v>431</v>
      </c>
      <c r="T178" s="41" t="s">
        <v>433</v>
      </c>
      <c r="U178" s="33"/>
      <c r="V178" s="44">
        <v>175</v>
      </c>
      <c r="W178" s="46">
        <f t="shared" si="35"/>
        <v>9.2222222222222197</v>
      </c>
      <c r="X178" s="46">
        <f t="shared" si="34"/>
        <v>14.600000000000025</v>
      </c>
      <c r="Y178" s="46">
        <f t="shared" si="36"/>
        <v>18.749999999999989</v>
      </c>
      <c r="Z178" s="46">
        <f t="shared" si="33"/>
        <v>24.999999999999975</v>
      </c>
      <c r="AA178" s="39">
        <v>55</v>
      </c>
      <c r="AC178" s="44">
        <v>175</v>
      </c>
      <c r="AD178" s="46">
        <v>50</v>
      </c>
      <c r="AE178" s="46">
        <v>50</v>
      </c>
      <c r="AF178" s="46">
        <v>50</v>
      </c>
      <c r="AG178" s="46">
        <v>50</v>
      </c>
      <c r="AH178" s="46">
        <v>75</v>
      </c>
    </row>
    <row r="179" spans="1:34" ht="15.95" customHeight="1" x14ac:dyDescent="0.25">
      <c r="A179" s="29" t="s">
        <v>216</v>
      </c>
      <c r="B179" s="31">
        <v>0.17569444444444446</v>
      </c>
      <c r="C179" s="31">
        <v>0.81944444444444453</v>
      </c>
      <c r="D179" s="31">
        <v>7.5694444444444439E-2</v>
      </c>
      <c r="E179" s="31">
        <v>0.91875000000000007</v>
      </c>
      <c r="F179" s="31">
        <v>0.1173611111111111</v>
      </c>
      <c r="G179" s="31">
        <v>0.87708333333333333</v>
      </c>
      <c r="H179" s="31">
        <v>0.15</v>
      </c>
      <c r="I179" s="31">
        <v>0.84444444444444444</v>
      </c>
      <c r="J179" s="31">
        <v>0.49722222222222223</v>
      </c>
      <c r="K179" s="30">
        <f>((K186-K156)/30)+K178</f>
        <v>80.533333333333246</v>
      </c>
      <c r="L179" s="30">
        <f>((L186-L156)/30)+L178</f>
        <v>69.600000000000065</v>
      </c>
      <c r="M179" s="90">
        <v>71.719999999999885</v>
      </c>
      <c r="N179" s="89">
        <f t="shared" si="29"/>
        <v>24.799999999999969</v>
      </c>
      <c r="O179" s="106">
        <f t="shared" si="30"/>
        <v>33.699999999999967</v>
      </c>
      <c r="P179" s="108">
        <v>52.759999999999941</v>
      </c>
      <c r="Q179" s="108">
        <v>9.2333333333333361</v>
      </c>
      <c r="R179" s="107">
        <v>30.233333333333295</v>
      </c>
      <c r="S179" s="41" t="s">
        <v>431</v>
      </c>
      <c r="T179" s="41" t="s">
        <v>433</v>
      </c>
      <c r="U179" s="33"/>
      <c r="V179" s="44">
        <v>176</v>
      </c>
      <c r="W179" s="46">
        <f t="shared" si="35"/>
        <v>9.3333333333333304</v>
      </c>
      <c r="X179" s="46">
        <f t="shared" si="34"/>
        <v>14.800000000000024</v>
      </c>
      <c r="Y179" s="46">
        <f t="shared" si="36"/>
        <v>18.999999999999989</v>
      </c>
      <c r="Z179" s="46">
        <f t="shared" si="33"/>
        <v>25.333333333333307</v>
      </c>
      <c r="AA179" s="39">
        <v>56</v>
      </c>
      <c r="AC179" s="44">
        <v>176</v>
      </c>
      <c r="AD179" s="46">
        <v>50</v>
      </c>
      <c r="AE179" s="46">
        <v>50</v>
      </c>
      <c r="AF179" s="46">
        <v>50</v>
      </c>
      <c r="AG179" s="46">
        <v>75</v>
      </c>
      <c r="AH179" s="46">
        <v>75</v>
      </c>
    </row>
    <row r="180" spans="1:34" ht="15.95" customHeight="1" x14ac:dyDescent="0.25">
      <c r="A180" s="29" t="s">
        <v>217</v>
      </c>
      <c r="B180" s="31">
        <v>0.17569444444444446</v>
      </c>
      <c r="C180" s="31">
        <v>0.81944444444444453</v>
      </c>
      <c r="D180" s="31">
        <v>7.5694444444444439E-2</v>
      </c>
      <c r="E180" s="31">
        <v>0.91875000000000007</v>
      </c>
      <c r="F180" s="31">
        <v>0.1173611111111111</v>
      </c>
      <c r="G180" s="31">
        <v>0.87708333333333333</v>
      </c>
      <c r="H180" s="31">
        <v>0.15069444444444444</v>
      </c>
      <c r="I180" s="31">
        <v>0.84444444444444444</v>
      </c>
      <c r="J180" s="31">
        <v>0.49722222222222223</v>
      </c>
      <c r="K180" s="30">
        <f>((K186-K156)/30)+K179</f>
        <v>80.599999999999909</v>
      </c>
      <c r="L180" s="30">
        <f>((L186-L156)/30)+L179</f>
        <v>69.800000000000068</v>
      </c>
      <c r="M180" s="90">
        <v>71.95999999999988</v>
      </c>
      <c r="N180" s="89">
        <f t="shared" si="29"/>
        <v>24.199999999999967</v>
      </c>
      <c r="O180" s="106">
        <f t="shared" si="30"/>
        <v>33.599999999999966</v>
      </c>
      <c r="P180" s="108">
        <v>52.879999999999939</v>
      </c>
      <c r="Q180" s="108">
        <v>9.2000000000000028</v>
      </c>
      <c r="R180" s="107">
        <v>30.19999999999996</v>
      </c>
      <c r="S180" s="41" t="s">
        <v>431</v>
      </c>
      <c r="T180" s="41" t="s">
        <v>433</v>
      </c>
      <c r="U180" s="33"/>
      <c r="V180" s="44">
        <v>177</v>
      </c>
      <c r="W180" s="46">
        <f t="shared" si="35"/>
        <v>9.4444444444444411</v>
      </c>
      <c r="X180" s="46">
        <f t="shared" si="34"/>
        <v>15.000000000000023</v>
      </c>
      <c r="Y180" s="46">
        <f t="shared" si="36"/>
        <v>19.249999999999989</v>
      </c>
      <c r="Z180" s="46">
        <f t="shared" si="33"/>
        <v>25.666666666666639</v>
      </c>
      <c r="AA180" s="39">
        <v>57</v>
      </c>
      <c r="AC180" s="44">
        <v>177</v>
      </c>
      <c r="AD180" s="46">
        <v>50</v>
      </c>
      <c r="AE180" s="46">
        <v>50</v>
      </c>
      <c r="AF180" s="46">
        <v>50</v>
      </c>
      <c r="AG180" s="46">
        <v>75</v>
      </c>
      <c r="AH180" s="46">
        <v>75</v>
      </c>
    </row>
    <row r="181" spans="1:34" ht="15.95" customHeight="1" x14ac:dyDescent="0.25">
      <c r="A181" s="29" t="s">
        <v>218</v>
      </c>
      <c r="B181" s="31">
        <v>0.17569444444444446</v>
      </c>
      <c r="C181" s="31">
        <v>0.81944444444444453</v>
      </c>
      <c r="D181" s="31">
        <v>7.6388888888888895E-2</v>
      </c>
      <c r="E181" s="31">
        <v>0.91875000000000007</v>
      </c>
      <c r="F181" s="31">
        <v>0.11805555555555557</v>
      </c>
      <c r="G181" s="31">
        <v>0.87708333333333333</v>
      </c>
      <c r="H181" s="31">
        <v>0.15069444444444444</v>
      </c>
      <c r="I181" s="31">
        <v>0.84444444444444444</v>
      </c>
      <c r="J181" s="31">
        <v>0.49791666666666662</v>
      </c>
      <c r="K181" s="30">
        <f>((K186-K156)/30)+K180</f>
        <v>80.666666666666572</v>
      </c>
      <c r="L181" s="30">
        <f>((L186-L156)/30)+L180</f>
        <v>70.000000000000071</v>
      </c>
      <c r="M181" s="90">
        <v>72.199999999999875</v>
      </c>
      <c r="N181" s="89">
        <f t="shared" si="29"/>
        <v>23.599999999999966</v>
      </c>
      <c r="O181" s="106">
        <f t="shared" si="30"/>
        <v>33.499999999999964</v>
      </c>
      <c r="P181" s="108">
        <v>52.999999999999936</v>
      </c>
      <c r="Q181" s="108">
        <v>9.1666666666666696</v>
      </c>
      <c r="R181" s="107">
        <v>30.166666666666625</v>
      </c>
      <c r="S181" s="41" t="s">
        <v>431</v>
      </c>
      <c r="T181" s="41" t="s">
        <v>433</v>
      </c>
      <c r="U181" s="33"/>
      <c r="V181" s="44">
        <v>178</v>
      </c>
      <c r="W181" s="46">
        <f t="shared" si="35"/>
        <v>9.5555555555555518</v>
      </c>
      <c r="X181" s="46">
        <f t="shared" si="34"/>
        <v>15.200000000000022</v>
      </c>
      <c r="Y181" s="46">
        <f t="shared" si="36"/>
        <v>19.499999999999989</v>
      </c>
      <c r="Z181" s="46">
        <f t="shared" si="33"/>
        <v>25.999999999999972</v>
      </c>
      <c r="AA181" s="39">
        <v>58</v>
      </c>
      <c r="AC181" s="44">
        <v>178</v>
      </c>
      <c r="AD181" s="46">
        <v>50</v>
      </c>
      <c r="AE181" s="46">
        <v>75</v>
      </c>
      <c r="AF181" s="46">
        <v>50</v>
      </c>
      <c r="AG181" s="46">
        <v>75</v>
      </c>
      <c r="AH181" s="46">
        <v>75</v>
      </c>
    </row>
    <row r="182" spans="1:34" ht="15.95" customHeight="1" x14ac:dyDescent="0.25">
      <c r="A182" s="29" t="s">
        <v>219</v>
      </c>
      <c r="B182" s="31">
        <v>0.1763888888888889</v>
      </c>
      <c r="C182" s="31">
        <v>0.81944444444444453</v>
      </c>
      <c r="D182" s="31">
        <v>7.7083333333333337E-2</v>
      </c>
      <c r="E182" s="31">
        <v>0.91875000000000007</v>
      </c>
      <c r="F182" s="31">
        <v>0.11805555555555557</v>
      </c>
      <c r="G182" s="31">
        <v>0.87708333333333333</v>
      </c>
      <c r="H182" s="31">
        <v>0.15138888888888888</v>
      </c>
      <c r="I182" s="31">
        <v>0.84444444444444444</v>
      </c>
      <c r="J182" s="31">
        <v>0.49791666666666662</v>
      </c>
      <c r="K182" s="30">
        <f>((K186-K156)/30)+K181</f>
        <v>80.733333333333235</v>
      </c>
      <c r="L182" s="30">
        <f>((L186-L156)/30)+L181</f>
        <v>70.200000000000074</v>
      </c>
      <c r="M182" s="90">
        <v>72.43999999999987</v>
      </c>
      <c r="N182" s="89">
        <f t="shared" si="29"/>
        <v>22.999999999999964</v>
      </c>
      <c r="O182" s="106">
        <f t="shared" si="30"/>
        <v>33.399999999999963</v>
      </c>
      <c r="P182" s="108">
        <v>53.119999999999933</v>
      </c>
      <c r="Q182" s="108">
        <v>9.1333333333333364</v>
      </c>
      <c r="R182" s="107">
        <v>30.13333333333329</v>
      </c>
      <c r="S182" s="41" t="s">
        <v>431</v>
      </c>
      <c r="T182" s="41" t="s">
        <v>433</v>
      </c>
      <c r="U182" s="33"/>
      <c r="V182" s="44">
        <v>179</v>
      </c>
      <c r="W182" s="46">
        <f t="shared" si="35"/>
        <v>9.6666666666666625</v>
      </c>
      <c r="X182" s="46">
        <f t="shared" si="34"/>
        <v>15.400000000000022</v>
      </c>
      <c r="Y182" s="46">
        <f t="shared" si="36"/>
        <v>19.749999999999989</v>
      </c>
      <c r="Z182" s="46">
        <f>Z181+(1/4)</f>
        <v>26.249999999999972</v>
      </c>
      <c r="AA182" s="39">
        <v>59</v>
      </c>
      <c r="AC182" s="44">
        <v>179</v>
      </c>
      <c r="AD182" s="46">
        <v>50</v>
      </c>
      <c r="AE182" s="46">
        <v>75</v>
      </c>
      <c r="AF182" s="46">
        <v>50</v>
      </c>
      <c r="AG182" s="46">
        <v>75</v>
      </c>
      <c r="AH182" s="46">
        <v>75</v>
      </c>
    </row>
    <row r="183" spans="1:34" ht="15.95" customHeight="1" x14ac:dyDescent="0.25">
      <c r="A183" s="29" t="s">
        <v>220</v>
      </c>
      <c r="B183" s="31">
        <v>0.1763888888888889</v>
      </c>
      <c r="C183" s="31">
        <v>0.81944444444444453</v>
      </c>
      <c r="D183" s="31">
        <v>7.7083333333333337E-2</v>
      </c>
      <c r="E183" s="31">
        <v>0.91805555555555562</v>
      </c>
      <c r="F183" s="31">
        <v>0.11875000000000001</v>
      </c>
      <c r="G183" s="31">
        <v>0.87708333333333333</v>
      </c>
      <c r="H183" s="31">
        <v>0.15138888888888888</v>
      </c>
      <c r="I183" s="31">
        <v>0.84444444444444444</v>
      </c>
      <c r="J183" s="31">
        <v>0.49791666666666662</v>
      </c>
      <c r="K183" s="30">
        <f>((K186-K156)/30)+K182</f>
        <v>80.799999999999898</v>
      </c>
      <c r="L183" s="30">
        <f>((L186-L156)/30)+L182</f>
        <v>70.400000000000077</v>
      </c>
      <c r="M183" s="90">
        <v>72.679999999999865</v>
      </c>
      <c r="N183" s="89">
        <f t="shared" si="29"/>
        <v>22.399999999999963</v>
      </c>
      <c r="O183" s="106">
        <f t="shared" si="30"/>
        <v>33.299999999999962</v>
      </c>
      <c r="P183" s="108">
        <v>53.239999999999931</v>
      </c>
      <c r="Q183" s="108">
        <v>9.1000000000000032</v>
      </c>
      <c r="R183" s="107">
        <v>30.099999999999955</v>
      </c>
      <c r="S183" s="41" t="s">
        <v>431</v>
      </c>
      <c r="T183" s="41" t="s">
        <v>433</v>
      </c>
      <c r="U183" s="33"/>
      <c r="V183" s="44">
        <v>180</v>
      </c>
      <c r="W183" s="46">
        <f t="shared" si="35"/>
        <v>9.7777777777777732</v>
      </c>
      <c r="X183" s="46">
        <f t="shared" si="34"/>
        <v>15.600000000000021</v>
      </c>
      <c r="Y183" s="46">
        <f t="shared" si="36"/>
        <v>19.999999999999989</v>
      </c>
      <c r="Z183" s="46">
        <f t="shared" ref="Z183:Z185" si="37">Z182+(1/4)</f>
        <v>26.499999999999972</v>
      </c>
      <c r="AA183" s="39">
        <v>60</v>
      </c>
      <c r="AC183" s="44">
        <v>180</v>
      </c>
      <c r="AD183" s="46">
        <v>50</v>
      </c>
      <c r="AE183" s="46">
        <v>75</v>
      </c>
      <c r="AF183" s="46">
        <v>50</v>
      </c>
      <c r="AG183" s="46">
        <v>75</v>
      </c>
      <c r="AH183" s="46">
        <v>75</v>
      </c>
    </row>
    <row r="184" spans="1:34" ht="15.95" customHeight="1" x14ac:dyDescent="0.25">
      <c r="A184" s="29" t="s">
        <v>221</v>
      </c>
      <c r="B184" s="31">
        <v>0.17708333333333334</v>
      </c>
      <c r="C184" s="31">
        <v>0.81944444444444453</v>
      </c>
      <c r="D184" s="31">
        <v>7.7777777777777779E-2</v>
      </c>
      <c r="E184" s="31">
        <v>0.91805555555555562</v>
      </c>
      <c r="F184" s="31">
        <v>0.11944444444444445</v>
      </c>
      <c r="G184" s="31">
        <v>0.87708333333333333</v>
      </c>
      <c r="H184" s="31">
        <v>0.15208333333333332</v>
      </c>
      <c r="I184" s="31">
        <v>0.84444444444444444</v>
      </c>
      <c r="J184" s="31">
        <v>0.49791666666666662</v>
      </c>
      <c r="K184" s="30">
        <f>((K186-K156)/30)+K183</f>
        <v>80.866666666666561</v>
      </c>
      <c r="L184" s="30">
        <f>((L186-L156)/30)+L183</f>
        <v>70.60000000000008</v>
      </c>
      <c r="M184" s="90">
        <v>72.91999999999986</v>
      </c>
      <c r="N184" s="89">
        <f t="shared" si="29"/>
        <v>21.799999999999962</v>
      </c>
      <c r="O184" s="106">
        <f t="shared" si="30"/>
        <v>33.19999999999996</v>
      </c>
      <c r="P184" s="108">
        <v>53.359999999999928</v>
      </c>
      <c r="Q184" s="108">
        <v>9.06666666666667</v>
      </c>
      <c r="R184" s="107">
        <v>30.06666666666662</v>
      </c>
      <c r="S184" s="41" t="s">
        <v>431</v>
      </c>
      <c r="T184" s="41" t="s">
        <v>433</v>
      </c>
      <c r="U184" s="33"/>
      <c r="V184" s="44">
        <v>181</v>
      </c>
      <c r="W184" s="46">
        <f t="shared" si="35"/>
        <v>9.888888888888884</v>
      </c>
      <c r="X184" s="46">
        <f t="shared" si="34"/>
        <v>15.80000000000002</v>
      </c>
      <c r="Y184" s="46">
        <f t="shared" si="36"/>
        <v>20.249999999999989</v>
      </c>
      <c r="Z184" s="46">
        <f t="shared" si="37"/>
        <v>26.749999999999972</v>
      </c>
      <c r="AA184" s="39">
        <v>60</v>
      </c>
      <c r="AC184" s="44">
        <v>181</v>
      </c>
      <c r="AD184" s="46">
        <v>50</v>
      </c>
      <c r="AE184" s="46">
        <v>75</v>
      </c>
      <c r="AF184" s="46">
        <v>75</v>
      </c>
      <c r="AG184" s="46">
        <v>75</v>
      </c>
      <c r="AH184" s="46">
        <v>75</v>
      </c>
    </row>
    <row r="185" spans="1:34" ht="15.95" customHeight="1" x14ac:dyDescent="0.25">
      <c r="A185" s="29" t="s">
        <v>222</v>
      </c>
      <c r="B185" s="31">
        <v>0.17708333333333334</v>
      </c>
      <c r="C185" s="31">
        <v>0.81944444444444453</v>
      </c>
      <c r="D185" s="31">
        <v>7.8472222222222221E-2</v>
      </c>
      <c r="E185" s="31">
        <v>0.91736111111111107</v>
      </c>
      <c r="F185" s="31">
        <v>0.11944444444444445</v>
      </c>
      <c r="G185" s="31">
        <v>0.87638888888888899</v>
      </c>
      <c r="H185" s="31">
        <v>0.15208333333333332</v>
      </c>
      <c r="I185" s="31">
        <v>0.84375</v>
      </c>
      <c r="J185" s="31">
        <v>0.49791666666666662</v>
      </c>
      <c r="K185" s="30">
        <f>((K186-K156)/30)+K184</f>
        <v>80.933333333333223</v>
      </c>
      <c r="L185" s="30">
        <f>((L186-L156)/30)+L184</f>
        <v>70.800000000000082</v>
      </c>
      <c r="M185" s="90">
        <v>73.159999999999854</v>
      </c>
      <c r="N185" s="89">
        <f t="shared" si="29"/>
        <v>21.19999999999996</v>
      </c>
      <c r="O185" s="106">
        <f t="shared" si="30"/>
        <v>33.099999999999959</v>
      </c>
      <c r="P185" s="108">
        <v>53.479999999999926</v>
      </c>
      <c r="Q185" s="108">
        <v>9.0333333333333368</v>
      </c>
      <c r="R185" s="107">
        <v>30.033333333333285</v>
      </c>
      <c r="S185" s="41" t="s">
        <v>431</v>
      </c>
      <c r="T185" s="41" t="s">
        <v>433</v>
      </c>
      <c r="U185" s="33"/>
      <c r="V185" s="44">
        <v>182</v>
      </c>
      <c r="W185" s="46">
        <f t="shared" si="35"/>
        <v>9.9999999999999947</v>
      </c>
      <c r="X185" s="46">
        <f t="shared" si="34"/>
        <v>16.000000000000021</v>
      </c>
      <c r="Y185" s="46">
        <f t="shared" si="36"/>
        <v>20.499999999999989</v>
      </c>
      <c r="Z185" s="46">
        <f t="shared" si="37"/>
        <v>26.999999999999972</v>
      </c>
      <c r="AA185" s="39">
        <v>60</v>
      </c>
      <c r="AC185" s="44">
        <v>182</v>
      </c>
      <c r="AD185" s="46">
        <v>50</v>
      </c>
      <c r="AE185" s="46">
        <v>75</v>
      </c>
      <c r="AF185" s="46">
        <v>75</v>
      </c>
      <c r="AG185" s="46">
        <v>75</v>
      </c>
      <c r="AH185" s="46">
        <v>75</v>
      </c>
    </row>
    <row r="186" spans="1:34" ht="15.95" customHeight="1" x14ac:dyDescent="0.25">
      <c r="A186" s="29" t="s">
        <v>223</v>
      </c>
      <c r="B186" s="31">
        <v>0.17777777777777778</v>
      </c>
      <c r="C186" s="31">
        <v>0.81874999999999998</v>
      </c>
      <c r="D186" s="31">
        <v>7.9166666666666663E-2</v>
      </c>
      <c r="E186" s="31">
        <v>0.91736111111111107</v>
      </c>
      <c r="F186" s="31">
        <v>0.12013888888888889</v>
      </c>
      <c r="G186" s="31">
        <v>0.87638888888888899</v>
      </c>
      <c r="H186" s="31">
        <v>0.15277777777777776</v>
      </c>
      <c r="I186" s="31">
        <v>0.84375</v>
      </c>
      <c r="J186" s="31">
        <v>0.49861111111111112</v>
      </c>
      <c r="K186" s="30">
        <v>81</v>
      </c>
      <c r="L186" s="30">
        <v>71</v>
      </c>
      <c r="M186" s="90">
        <v>73.400000000000006</v>
      </c>
      <c r="N186" s="89">
        <v>20.6</v>
      </c>
      <c r="O186" s="106">
        <v>33</v>
      </c>
      <c r="P186" s="108">
        <v>53.6</v>
      </c>
      <c r="Q186" s="108">
        <v>9</v>
      </c>
      <c r="R186" s="107">
        <v>30</v>
      </c>
      <c r="S186" s="41" t="s">
        <v>433</v>
      </c>
      <c r="T186" s="41" t="s">
        <v>433</v>
      </c>
      <c r="U186" s="33"/>
      <c r="V186" s="44">
        <v>183</v>
      </c>
      <c r="W186" s="46">
        <f>W185+(1/17)</f>
        <v>10.058823529411759</v>
      </c>
      <c r="X186" s="46">
        <f t="shared" si="34"/>
        <v>16.200000000000021</v>
      </c>
      <c r="Y186" s="46">
        <f t="shared" si="36"/>
        <v>20.749999999999989</v>
      </c>
      <c r="Z186" s="46">
        <f>Z185+(1/3)</f>
        <v>27.333333333333304</v>
      </c>
      <c r="AA186" s="39">
        <v>60</v>
      </c>
      <c r="AC186" s="44">
        <v>183</v>
      </c>
      <c r="AD186" s="46">
        <v>75</v>
      </c>
      <c r="AE186" s="46">
        <v>75</v>
      </c>
      <c r="AF186" s="46">
        <v>75</v>
      </c>
      <c r="AG186" s="46">
        <v>75</v>
      </c>
      <c r="AH186" s="46">
        <v>75</v>
      </c>
    </row>
    <row r="187" spans="1:34" ht="15.95" customHeight="1" x14ac:dyDescent="0.25">
      <c r="A187" s="29" t="s">
        <v>224</v>
      </c>
      <c r="B187" s="31">
        <v>0.17777777777777778</v>
      </c>
      <c r="C187" s="31">
        <v>0.81874999999999998</v>
      </c>
      <c r="D187" s="31">
        <v>7.9861111111111105E-2</v>
      </c>
      <c r="E187" s="31">
        <v>0.91666666666666663</v>
      </c>
      <c r="F187" s="31">
        <v>0.12083333333333333</v>
      </c>
      <c r="G187" s="31">
        <v>0.87638888888888899</v>
      </c>
      <c r="H187" s="31">
        <v>0.15277777777777776</v>
      </c>
      <c r="I187" s="31">
        <v>0.84375</v>
      </c>
      <c r="J187" s="31">
        <v>0.49861111111111112</v>
      </c>
      <c r="K187" s="30">
        <f>((K217-K186)/31)+K186</f>
        <v>81</v>
      </c>
      <c r="L187" s="30">
        <f>((L217-L186)/31)+L186</f>
        <v>70.935483870967744</v>
      </c>
      <c r="M187" s="90">
        <v>73.341935483870969</v>
      </c>
      <c r="N187" s="89">
        <f>((($N$217-$N$186)/31)+N186)</f>
        <v>20.380645161290325</v>
      </c>
      <c r="O187" s="106">
        <f>(($O$217-$O$186)/31)+O186</f>
        <v>33</v>
      </c>
      <c r="P187" s="108">
        <v>53.541935483870972</v>
      </c>
      <c r="Q187" s="108">
        <v>9</v>
      </c>
      <c r="R187" s="107">
        <v>29.967741935483872</v>
      </c>
      <c r="S187" s="41" t="s">
        <v>433</v>
      </c>
      <c r="T187" s="41" t="s">
        <v>433</v>
      </c>
      <c r="U187" s="33"/>
      <c r="V187" s="44">
        <v>184</v>
      </c>
      <c r="W187" s="46">
        <f t="shared" ref="W187:W202" si="38">W186+(1/17)</f>
        <v>10.117647058823524</v>
      </c>
      <c r="X187" s="46">
        <f t="shared" si="34"/>
        <v>16.40000000000002</v>
      </c>
      <c r="Y187" s="46">
        <f t="shared" si="36"/>
        <v>20.999999999999989</v>
      </c>
      <c r="Z187" s="46">
        <f t="shared" ref="Z187:Z191" si="39">Z186+(1/3)</f>
        <v>27.666666666666636</v>
      </c>
      <c r="AA187" s="39">
        <v>60</v>
      </c>
      <c r="AC187" s="44">
        <v>184</v>
      </c>
      <c r="AD187" s="46">
        <v>75</v>
      </c>
      <c r="AE187" s="46">
        <v>75</v>
      </c>
      <c r="AF187" s="46">
        <v>75</v>
      </c>
      <c r="AG187" s="46">
        <v>75</v>
      </c>
      <c r="AH187" s="46">
        <v>75</v>
      </c>
    </row>
    <row r="188" spans="1:34" ht="15.95" customHeight="1" x14ac:dyDescent="0.25">
      <c r="A188" s="29" t="s">
        <v>225</v>
      </c>
      <c r="B188" s="31">
        <v>0.17847222222222223</v>
      </c>
      <c r="C188" s="31">
        <v>0.81874999999999998</v>
      </c>
      <c r="D188" s="31">
        <v>8.0555555555555561E-2</v>
      </c>
      <c r="E188" s="31">
        <v>0.9159722222222223</v>
      </c>
      <c r="F188" s="31">
        <v>0.12083333333333333</v>
      </c>
      <c r="G188" s="31">
        <v>0.87569444444444444</v>
      </c>
      <c r="H188" s="31">
        <v>0.15347222222222223</v>
      </c>
      <c r="I188" s="31">
        <v>0.84375</v>
      </c>
      <c r="J188" s="31">
        <v>0.49861111111111112</v>
      </c>
      <c r="K188" s="30">
        <f>((K217-K186)/31)+K187</f>
        <v>81</v>
      </c>
      <c r="L188" s="30">
        <f>((L217-L186)/31)+L187</f>
        <v>70.870967741935488</v>
      </c>
      <c r="M188" s="90">
        <v>73.283870967741933</v>
      </c>
      <c r="N188" s="89">
        <f t="shared" ref="N188:N216" si="40">((($N$217-$N$186)/31)+N187)</f>
        <v>20.161290322580648</v>
      </c>
      <c r="O188" s="106">
        <f t="shared" ref="O188:O216" si="41">(($O$217-$O$186)/31)+O187</f>
        <v>33</v>
      </c>
      <c r="P188" s="108">
        <v>53.483870967741943</v>
      </c>
      <c r="Q188" s="108">
        <v>9</v>
      </c>
      <c r="R188" s="107">
        <v>29.935483870967744</v>
      </c>
      <c r="S188" s="41" t="s">
        <v>433</v>
      </c>
      <c r="T188" s="41" t="s">
        <v>433</v>
      </c>
      <c r="U188" s="33"/>
      <c r="V188" s="44">
        <v>185</v>
      </c>
      <c r="W188" s="46">
        <f t="shared" si="38"/>
        <v>10.176470588235288</v>
      </c>
      <c r="X188" s="46">
        <f t="shared" si="34"/>
        <v>16.600000000000019</v>
      </c>
      <c r="Y188" s="46">
        <f t="shared" si="36"/>
        <v>21.249999999999989</v>
      </c>
      <c r="Z188" s="46">
        <f t="shared" si="39"/>
        <v>27.999999999999968</v>
      </c>
      <c r="AA188" s="39">
        <v>60</v>
      </c>
      <c r="AC188" s="44">
        <v>185</v>
      </c>
      <c r="AD188" s="46">
        <v>75</v>
      </c>
      <c r="AE188" s="46">
        <v>75</v>
      </c>
      <c r="AF188" s="46">
        <v>75</v>
      </c>
      <c r="AG188" s="46">
        <v>75</v>
      </c>
      <c r="AH188" s="46">
        <v>75</v>
      </c>
    </row>
    <row r="189" spans="1:34" ht="15.95" customHeight="1" x14ac:dyDescent="0.25">
      <c r="A189" s="29" t="s">
        <v>226</v>
      </c>
      <c r="B189" s="31">
        <v>0.17847222222222223</v>
      </c>
      <c r="C189" s="31">
        <v>0.81874999999999998</v>
      </c>
      <c r="D189" s="31">
        <v>8.1250000000000003E-2</v>
      </c>
      <c r="E189" s="31">
        <v>0.91527777777777775</v>
      </c>
      <c r="F189" s="31">
        <v>0.12152777777777778</v>
      </c>
      <c r="G189" s="31">
        <v>0.87569444444444444</v>
      </c>
      <c r="H189" s="31">
        <v>0.15416666666666667</v>
      </c>
      <c r="I189" s="31">
        <v>0.84305555555555556</v>
      </c>
      <c r="J189" s="31">
        <v>0.49861111111111112</v>
      </c>
      <c r="K189" s="30">
        <f>((K217-K186)/31)+K188</f>
        <v>81</v>
      </c>
      <c r="L189" s="30">
        <f>((L217-L186)/31)+L188</f>
        <v>70.806451612903231</v>
      </c>
      <c r="M189" s="90">
        <v>73.225806451612897</v>
      </c>
      <c r="N189" s="89">
        <f t="shared" si="40"/>
        <v>19.941935483870971</v>
      </c>
      <c r="O189" s="106">
        <f t="shared" si="41"/>
        <v>33</v>
      </c>
      <c r="P189" s="108">
        <v>53.425806451612914</v>
      </c>
      <c r="Q189" s="108">
        <v>9</v>
      </c>
      <c r="R189" s="107">
        <v>29.903225806451616</v>
      </c>
      <c r="S189" s="41" t="s">
        <v>433</v>
      </c>
      <c r="T189" s="41" t="s">
        <v>433</v>
      </c>
      <c r="U189" s="33"/>
      <c r="V189" s="44">
        <v>186</v>
      </c>
      <c r="W189" s="46">
        <f t="shared" si="38"/>
        <v>10.235294117647053</v>
      </c>
      <c r="X189" s="46">
        <f t="shared" si="34"/>
        <v>16.800000000000018</v>
      </c>
      <c r="Y189" s="46">
        <f t="shared" si="36"/>
        <v>21.499999999999989</v>
      </c>
      <c r="Z189" s="46">
        <f t="shared" si="39"/>
        <v>28.3333333333333</v>
      </c>
      <c r="AA189" s="39">
        <v>60</v>
      </c>
      <c r="AC189" s="44">
        <v>186</v>
      </c>
      <c r="AD189" s="46">
        <v>75</v>
      </c>
      <c r="AE189" s="46">
        <v>75</v>
      </c>
      <c r="AF189" s="46">
        <v>75</v>
      </c>
      <c r="AG189" s="46">
        <v>75</v>
      </c>
      <c r="AH189" s="46">
        <v>75</v>
      </c>
    </row>
    <row r="190" spans="1:34" ht="15.95" customHeight="1" x14ac:dyDescent="0.25">
      <c r="A190" s="29" t="s">
        <v>227</v>
      </c>
      <c r="B190" s="31">
        <v>0.17916666666666667</v>
      </c>
      <c r="C190" s="31">
        <v>0.81805555555555554</v>
      </c>
      <c r="D190" s="31">
        <v>8.1944444444444445E-2</v>
      </c>
      <c r="E190" s="31">
        <v>0.9145833333333333</v>
      </c>
      <c r="F190" s="31">
        <v>0.12222222222222223</v>
      </c>
      <c r="G190" s="31">
        <v>0.875</v>
      </c>
      <c r="H190" s="31">
        <v>0.15416666666666667</v>
      </c>
      <c r="I190" s="31">
        <v>0.84305555555555556</v>
      </c>
      <c r="J190" s="31">
        <v>0.49861111111111112</v>
      </c>
      <c r="K190" s="30">
        <f>((K217-K186)/31)+K189</f>
        <v>81</v>
      </c>
      <c r="L190" s="30">
        <f>((L217-L186)/31)+L189</f>
        <v>70.741935483870975</v>
      </c>
      <c r="M190" s="90">
        <v>73.167741935483861</v>
      </c>
      <c r="N190" s="89">
        <f t="shared" si="40"/>
        <v>19.722580645161294</v>
      </c>
      <c r="O190" s="106">
        <f t="shared" si="41"/>
        <v>33</v>
      </c>
      <c r="P190" s="108">
        <v>53.367741935483885</v>
      </c>
      <c r="Q190" s="108">
        <v>9</v>
      </c>
      <c r="R190" s="107">
        <v>29.870967741935488</v>
      </c>
      <c r="S190" s="41" t="s">
        <v>433</v>
      </c>
      <c r="T190" s="41" t="s">
        <v>433</v>
      </c>
      <c r="U190" s="33"/>
      <c r="V190" s="44">
        <v>187</v>
      </c>
      <c r="W190" s="46">
        <f t="shared" si="38"/>
        <v>10.294117647058817</v>
      </c>
      <c r="X190" s="46">
        <f t="shared" si="34"/>
        <v>17.000000000000018</v>
      </c>
      <c r="Y190" s="46">
        <f t="shared" si="36"/>
        <v>21.749999999999989</v>
      </c>
      <c r="Z190" s="46">
        <f t="shared" si="39"/>
        <v>28.666666666666632</v>
      </c>
      <c r="AA190" s="39">
        <v>60</v>
      </c>
      <c r="AC190" s="44">
        <v>187</v>
      </c>
      <c r="AD190" s="46">
        <v>75</v>
      </c>
      <c r="AE190" s="46">
        <v>75</v>
      </c>
      <c r="AF190" s="46">
        <v>75</v>
      </c>
      <c r="AG190" s="46">
        <v>75</v>
      </c>
      <c r="AH190" s="46">
        <v>75</v>
      </c>
    </row>
    <row r="191" spans="1:34" ht="15.95" customHeight="1" x14ac:dyDescent="0.25">
      <c r="A191" s="29" t="s">
        <v>228</v>
      </c>
      <c r="B191" s="31">
        <v>0.17986111111111111</v>
      </c>
      <c r="C191" s="31">
        <v>0.81805555555555554</v>
      </c>
      <c r="D191" s="31">
        <v>8.3333333333333329E-2</v>
      </c>
      <c r="E191" s="31">
        <v>0.9145833333333333</v>
      </c>
      <c r="F191" s="31">
        <v>0.12291666666666667</v>
      </c>
      <c r="G191" s="31">
        <v>0.875</v>
      </c>
      <c r="H191" s="31">
        <v>0.15486111111111112</v>
      </c>
      <c r="I191" s="31">
        <v>0.84236111111111101</v>
      </c>
      <c r="J191" s="31">
        <v>0.4993055555555555</v>
      </c>
      <c r="K191" s="30">
        <f>((K217-K186)/31)+K190</f>
        <v>81</v>
      </c>
      <c r="L191" s="30">
        <f>((L217-L186)/31)+L190</f>
        <v>70.677419354838719</v>
      </c>
      <c r="M191" s="90">
        <v>73.109677419354824</v>
      </c>
      <c r="N191" s="89">
        <f t="shared" si="40"/>
        <v>19.503225806451617</v>
      </c>
      <c r="O191" s="106">
        <f t="shared" si="41"/>
        <v>33</v>
      </c>
      <c r="P191" s="108">
        <v>53.309677419354855</v>
      </c>
      <c r="Q191" s="108">
        <v>9</v>
      </c>
      <c r="R191" s="107">
        <v>29.838709677419359</v>
      </c>
      <c r="S191" s="41" t="s">
        <v>433</v>
      </c>
      <c r="T191" s="41" t="s">
        <v>433</v>
      </c>
      <c r="U191" s="33"/>
      <c r="V191" s="44">
        <v>188</v>
      </c>
      <c r="W191" s="46">
        <f t="shared" si="38"/>
        <v>10.352941176470582</v>
      </c>
      <c r="X191" s="46">
        <f>X190+(1/13)</f>
        <v>17.076923076923094</v>
      </c>
      <c r="Y191" s="46">
        <f t="shared" si="36"/>
        <v>21.999999999999989</v>
      </c>
      <c r="Z191" s="46">
        <f t="shared" si="39"/>
        <v>28.999999999999964</v>
      </c>
      <c r="AA191" s="39">
        <v>60</v>
      </c>
      <c r="AC191" s="44">
        <v>188</v>
      </c>
      <c r="AD191" s="46">
        <v>75</v>
      </c>
      <c r="AE191" s="46">
        <v>75</v>
      </c>
      <c r="AF191" s="46">
        <v>75</v>
      </c>
      <c r="AG191" s="46">
        <v>75</v>
      </c>
      <c r="AH191" s="46">
        <v>75</v>
      </c>
    </row>
    <row r="192" spans="1:34" ht="15.95" customHeight="1" x14ac:dyDescent="0.25">
      <c r="A192" s="29" t="s">
        <v>229</v>
      </c>
      <c r="B192" s="31">
        <v>0.17986111111111111</v>
      </c>
      <c r="C192" s="31">
        <v>0.81805555555555554</v>
      </c>
      <c r="D192" s="31">
        <v>8.4027777777777771E-2</v>
      </c>
      <c r="E192" s="31">
        <v>0.91388888888888886</v>
      </c>
      <c r="F192" s="31">
        <v>0.12361111111111112</v>
      </c>
      <c r="G192" s="31">
        <v>0.87430555555555556</v>
      </c>
      <c r="H192" s="31">
        <v>0.15555555555555556</v>
      </c>
      <c r="I192" s="31">
        <v>0.84236111111111101</v>
      </c>
      <c r="J192" s="31">
        <v>0.4993055555555555</v>
      </c>
      <c r="K192" s="30">
        <f>((K217-K186)/31)+K191</f>
        <v>81</v>
      </c>
      <c r="L192" s="30">
        <f>((L217-L186)/31)+L191</f>
        <v>70.612903225806463</v>
      </c>
      <c r="M192" s="90">
        <v>73.051612903225788</v>
      </c>
      <c r="N192" s="89">
        <f t="shared" si="40"/>
        <v>19.28387096774194</v>
      </c>
      <c r="O192" s="106">
        <f t="shared" si="41"/>
        <v>33</v>
      </c>
      <c r="P192" s="108">
        <v>53.251612903225826</v>
      </c>
      <c r="Q192" s="108">
        <v>9</v>
      </c>
      <c r="R192" s="107">
        <v>29.806451612903231</v>
      </c>
      <c r="S192" s="41" t="s">
        <v>433</v>
      </c>
      <c r="T192" s="41" t="s">
        <v>433</v>
      </c>
      <c r="U192" s="33"/>
      <c r="V192" s="44">
        <v>189</v>
      </c>
      <c r="W192" s="46">
        <f t="shared" si="38"/>
        <v>10.411764705882346</v>
      </c>
      <c r="X192" s="46">
        <f t="shared" ref="X192:X203" si="42">X191+(1/13)</f>
        <v>17.153846153846171</v>
      </c>
      <c r="Y192" s="46">
        <f t="shared" si="36"/>
        <v>22.249999999999989</v>
      </c>
      <c r="Z192" s="46">
        <f>Z191+(1/12)</f>
        <v>29.083333333333297</v>
      </c>
      <c r="AA192" s="39">
        <v>60</v>
      </c>
      <c r="AC192" s="44">
        <v>189</v>
      </c>
      <c r="AD192" s="46">
        <v>75</v>
      </c>
      <c r="AE192" s="46">
        <v>75</v>
      </c>
      <c r="AF192" s="46">
        <v>75</v>
      </c>
      <c r="AG192" s="46">
        <v>75</v>
      </c>
      <c r="AH192" s="46">
        <v>75</v>
      </c>
    </row>
    <row r="193" spans="1:34" ht="15.95" customHeight="1" x14ac:dyDescent="0.25">
      <c r="A193" s="29" t="s">
        <v>230</v>
      </c>
      <c r="B193" s="31">
        <v>0.18055555555555555</v>
      </c>
      <c r="C193" s="31">
        <v>0.81736111111111109</v>
      </c>
      <c r="D193" s="31">
        <v>8.4722222222222213E-2</v>
      </c>
      <c r="E193" s="31">
        <v>0.91249999999999998</v>
      </c>
      <c r="F193" s="31">
        <v>0.12430555555555556</v>
      </c>
      <c r="G193" s="31">
        <v>0.87361111111111101</v>
      </c>
      <c r="H193" s="31">
        <v>0.15625</v>
      </c>
      <c r="I193" s="31">
        <v>0.84166666666666667</v>
      </c>
      <c r="J193" s="31">
        <v>0.4993055555555555</v>
      </c>
      <c r="K193" s="30">
        <f>((K217-K186)/31)+K192</f>
        <v>81</v>
      </c>
      <c r="L193" s="30">
        <f>((L217-L186)/31)+L192</f>
        <v>70.548387096774206</v>
      </c>
      <c r="M193" s="90">
        <v>72.993548387096752</v>
      </c>
      <c r="N193" s="89">
        <f t="shared" si="40"/>
        <v>19.064516129032263</v>
      </c>
      <c r="O193" s="106">
        <f t="shared" si="41"/>
        <v>33</v>
      </c>
      <c r="P193" s="108">
        <v>53.193548387096797</v>
      </c>
      <c r="Q193" s="108">
        <v>9</v>
      </c>
      <c r="R193" s="107">
        <v>29.774193548387103</v>
      </c>
      <c r="S193" s="41" t="s">
        <v>433</v>
      </c>
      <c r="T193" s="41" t="s">
        <v>433</v>
      </c>
      <c r="U193" s="33"/>
      <c r="V193" s="44">
        <v>190</v>
      </c>
      <c r="W193" s="46">
        <f t="shared" si="38"/>
        <v>10.470588235294111</v>
      </c>
      <c r="X193" s="46">
        <f t="shared" si="42"/>
        <v>17.230769230769248</v>
      </c>
      <c r="Y193" s="46">
        <f t="shared" si="36"/>
        <v>22.499999999999989</v>
      </c>
      <c r="Z193" s="46">
        <f t="shared" ref="Z193:Z203" si="43">Z192+(1/12)</f>
        <v>29.166666666666629</v>
      </c>
      <c r="AA193" s="39">
        <v>60</v>
      </c>
      <c r="AC193" s="44">
        <v>190</v>
      </c>
      <c r="AD193" s="46">
        <v>75</v>
      </c>
      <c r="AE193" s="46">
        <v>75</v>
      </c>
      <c r="AF193" s="46">
        <v>75</v>
      </c>
      <c r="AG193" s="46">
        <v>75</v>
      </c>
      <c r="AH193" s="46">
        <v>75</v>
      </c>
    </row>
    <row r="194" spans="1:34" ht="15.95" customHeight="1" x14ac:dyDescent="0.25">
      <c r="A194" s="29" t="s">
        <v>231</v>
      </c>
      <c r="B194" s="31">
        <v>0.18124999999999999</v>
      </c>
      <c r="C194" s="31">
        <v>0.81736111111111109</v>
      </c>
      <c r="D194" s="31">
        <v>8.6111111111111124E-2</v>
      </c>
      <c r="E194" s="31">
        <v>0.91180555555555554</v>
      </c>
      <c r="F194" s="31">
        <v>0.125</v>
      </c>
      <c r="G194" s="31">
        <v>0.87291666666666667</v>
      </c>
      <c r="H194" s="31">
        <v>0.15694444444444444</v>
      </c>
      <c r="I194" s="31">
        <v>0.84166666666666667</v>
      </c>
      <c r="J194" s="31">
        <v>0.4993055555555555</v>
      </c>
      <c r="K194" s="30">
        <f>((K217-K186)/31)+K193</f>
        <v>81</v>
      </c>
      <c r="L194" s="30">
        <f>((L217-L186)/31)+L193</f>
        <v>70.48387096774195</v>
      </c>
      <c r="M194" s="90">
        <v>72.935483870967715</v>
      </c>
      <c r="N194" s="89">
        <f t="shared" si="40"/>
        <v>18.845161290322586</v>
      </c>
      <c r="O194" s="106">
        <f t="shared" si="41"/>
        <v>33</v>
      </c>
      <c r="P194" s="108">
        <v>53.135483870967768</v>
      </c>
      <c r="Q194" s="108">
        <v>9</v>
      </c>
      <c r="R194" s="107">
        <v>29.741935483870975</v>
      </c>
      <c r="S194" s="41" t="s">
        <v>433</v>
      </c>
      <c r="T194" s="41" t="s">
        <v>433</v>
      </c>
      <c r="U194" s="33"/>
      <c r="V194" s="44">
        <v>191</v>
      </c>
      <c r="W194" s="46">
        <f t="shared" si="38"/>
        <v>10.529411764705875</v>
      </c>
      <c r="X194" s="46">
        <f t="shared" si="42"/>
        <v>17.307692307692324</v>
      </c>
      <c r="Y194" s="46">
        <f t="shared" si="36"/>
        <v>22.749999999999989</v>
      </c>
      <c r="Z194" s="46">
        <f t="shared" si="43"/>
        <v>29.249999999999961</v>
      </c>
      <c r="AA194" s="39">
        <v>60</v>
      </c>
      <c r="AC194" s="44">
        <v>191</v>
      </c>
      <c r="AD194" s="46">
        <v>75</v>
      </c>
      <c r="AE194" s="46">
        <v>75</v>
      </c>
      <c r="AF194" s="46">
        <v>75</v>
      </c>
      <c r="AG194" s="46">
        <v>75</v>
      </c>
      <c r="AH194" s="46">
        <v>75</v>
      </c>
    </row>
    <row r="195" spans="1:34" ht="15.95" customHeight="1" x14ac:dyDescent="0.25">
      <c r="A195" s="29" t="s">
        <v>232</v>
      </c>
      <c r="B195" s="31">
        <v>0.18194444444444444</v>
      </c>
      <c r="C195" s="31">
        <v>0.81666666666666676</v>
      </c>
      <c r="D195" s="31">
        <v>8.6805555555555566E-2</v>
      </c>
      <c r="E195" s="31">
        <v>0.91111111111111109</v>
      </c>
      <c r="F195" s="31">
        <v>0.12569444444444444</v>
      </c>
      <c r="G195" s="31">
        <v>0.87291666666666667</v>
      </c>
      <c r="H195" s="31">
        <v>0.15694444444444444</v>
      </c>
      <c r="I195" s="31">
        <v>0.84097222222222223</v>
      </c>
      <c r="J195" s="31">
        <v>0.4993055555555555</v>
      </c>
      <c r="K195" s="30">
        <f>((K217-K186)/31)+K194</f>
        <v>81</v>
      </c>
      <c r="L195" s="30">
        <f>((L217-L186)/31)+L194</f>
        <v>70.419354838709694</v>
      </c>
      <c r="M195" s="90">
        <v>72.877419354838679</v>
      </c>
      <c r="N195" s="89">
        <f t="shared" si="40"/>
        <v>18.62580645161291</v>
      </c>
      <c r="O195" s="106">
        <f t="shared" si="41"/>
        <v>33</v>
      </c>
      <c r="P195" s="108">
        <v>53.077419354838739</v>
      </c>
      <c r="Q195" s="108">
        <v>9</v>
      </c>
      <c r="R195" s="107">
        <v>29.709677419354847</v>
      </c>
      <c r="S195" s="41" t="s">
        <v>433</v>
      </c>
      <c r="T195" s="41" t="s">
        <v>433</v>
      </c>
      <c r="U195" s="33"/>
      <c r="V195" s="44">
        <v>192</v>
      </c>
      <c r="W195" s="46">
        <f t="shared" si="38"/>
        <v>10.58823529411764</v>
      </c>
      <c r="X195" s="46">
        <f t="shared" si="42"/>
        <v>17.384615384615401</v>
      </c>
      <c r="Y195" s="46">
        <f t="shared" si="36"/>
        <v>22.999999999999989</v>
      </c>
      <c r="Z195" s="46">
        <f t="shared" si="43"/>
        <v>29.333333333333293</v>
      </c>
      <c r="AA195" s="39">
        <v>60</v>
      </c>
      <c r="AC195" s="44">
        <v>192</v>
      </c>
      <c r="AD195" s="46">
        <v>75</v>
      </c>
      <c r="AE195" s="46">
        <v>75</v>
      </c>
      <c r="AF195" s="46">
        <v>75</v>
      </c>
      <c r="AG195" s="46">
        <v>75</v>
      </c>
      <c r="AH195" s="46">
        <v>75</v>
      </c>
    </row>
    <row r="196" spans="1:34" ht="15.95" customHeight="1" x14ac:dyDescent="0.25">
      <c r="A196" s="29" t="s">
        <v>233</v>
      </c>
      <c r="B196" s="31">
        <v>0.18194444444444444</v>
      </c>
      <c r="C196" s="31">
        <v>0.81666666666666676</v>
      </c>
      <c r="D196" s="31">
        <v>8.7500000000000008E-2</v>
      </c>
      <c r="E196" s="31">
        <v>0.91041666666666676</v>
      </c>
      <c r="F196" s="31">
        <v>0.12638888888888888</v>
      </c>
      <c r="G196" s="31">
        <v>0.87222222222222223</v>
      </c>
      <c r="H196" s="31">
        <v>0.15763888888888888</v>
      </c>
      <c r="I196" s="31">
        <v>0.84097222222222223</v>
      </c>
      <c r="J196" s="31">
        <v>0.4993055555555555</v>
      </c>
      <c r="K196" s="30">
        <f>((K217-K186)/31)+K195</f>
        <v>81</v>
      </c>
      <c r="L196" s="30">
        <f>((L217-L186)/31)+L195</f>
        <v>70.354838709677438</v>
      </c>
      <c r="M196" s="90">
        <v>72.819354838709643</v>
      </c>
      <c r="N196" s="89">
        <f t="shared" si="40"/>
        <v>18.406451612903233</v>
      </c>
      <c r="O196" s="106">
        <f t="shared" si="41"/>
        <v>33</v>
      </c>
      <c r="P196" s="108">
        <v>53.01935483870971</v>
      </c>
      <c r="Q196" s="108">
        <v>9</v>
      </c>
      <c r="R196" s="107">
        <v>29.677419354838719</v>
      </c>
      <c r="S196" s="41" t="s">
        <v>433</v>
      </c>
      <c r="T196" s="41" t="s">
        <v>433</v>
      </c>
      <c r="U196" s="33"/>
      <c r="V196" s="44">
        <v>193</v>
      </c>
      <c r="W196" s="46">
        <f t="shared" si="38"/>
        <v>10.647058823529404</v>
      </c>
      <c r="X196" s="46">
        <f t="shared" si="42"/>
        <v>17.461538461538478</v>
      </c>
      <c r="Y196" s="46">
        <f>Y195+(1/8)</f>
        <v>23.124999999999989</v>
      </c>
      <c r="Z196" s="46">
        <f t="shared" si="43"/>
        <v>29.416666666666625</v>
      </c>
      <c r="AA196" s="39">
        <v>60</v>
      </c>
      <c r="AC196" s="44">
        <v>193</v>
      </c>
      <c r="AD196" s="46">
        <v>75</v>
      </c>
      <c r="AE196" s="46">
        <v>75</v>
      </c>
      <c r="AF196" s="46">
        <v>75</v>
      </c>
      <c r="AG196" s="46">
        <v>75</v>
      </c>
      <c r="AH196" s="46">
        <v>75</v>
      </c>
    </row>
    <row r="197" spans="1:34" ht="15.95" customHeight="1" x14ac:dyDescent="0.25">
      <c r="A197" s="29" t="s">
        <v>234</v>
      </c>
      <c r="B197" s="31">
        <v>0.18263888888888891</v>
      </c>
      <c r="C197" s="31">
        <v>0.81597222222222221</v>
      </c>
      <c r="D197" s="31">
        <v>8.8888888888888892E-2</v>
      </c>
      <c r="E197" s="31">
        <v>0.90972222222222221</v>
      </c>
      <c r="F197" s="31">
        <v>0.12708333333333333</v>
      </c>
      <c r="G197" s="31">
        <v>0.87152777777777779</v>
      </c>
      <c r="H197" s="31">
        <v>0.15833333333333333</v>
      </c>
      <c r="I197" s="31">
        <v>0.84027777777777779</v>
      </c>
      <c r="J197" s="31">
        <v>0.4993055555555555</v>
      </c>
      <c r="K197" s="30">
        <f>((K217-K186)/31)+K196</f>
        <v>81</v>
      </c>
      <c r="L197" s="30">
        <f>((L217-L186)/31)+L196</f>
        <v>70.290322580645181</v>
      </c>
      <c r="M197" s="90">
        <v>72.761290322580606</v>
      </c>
      <c r="N197" s="89">
        <f t="shared" si="40"/>
        <v>18.187096774193556</v>
      </c>
      <c r="O197" s="106">
        <f t="shared" si="41"/>
        <v>33</v>
      </c>
      <c r="P197" s="108">
        <v>52.96129032258068</v>
      </c>
      <c r="Q197" s="108">
        <v>9</v>
      </c>
      <c r="R197" s="107">
        <v>29.645161290322591</v>
      </c>
      <c r="S197" s="41" t="s">
        <v>433</v>
      </c>
      <c r="T197" s="41" t="s">
        <v>433</v>
      </c>
      <c r="U197" s="33"/>
      <c r="V197" s="44">
        <v>194</v>
      </c>
      <c r="W197" s="46">
        <f t="shared" si="38"/>
        <v>10.705882352941169</v>
      </c>
      <c r="X197" s="46">
        <f t="shared" si="42"/>
        <v>17.538461538461554</v>
      </c>
      <c r="Y197" s="46">
        <f t="shared" ref="Y197:Y203" si="44">Y196+(1/8)</f>
        <v>23.249999999999989</v>
      </c>
      <c r="Z197" s="46">
        <f t="shared" si="43"/>
        <v>29.499999999999957</v>
      </c>
      <c r="AA197" s="39">
        <v>60</v>
      </c>
      <c r="AC197" s="44">
        <v>194</v>
      </c>
      <c r="AD197" s="46">
        <v>75</v>
      </c>
      <c r="AE197" s="46">
        <v>75</v>
      </c>
      <c r="AF197" s="46">
        <v>75</v>
      </c>
      <c r="AG197" s="46">
        <v>75</v>
      </c>
      <c r="AH197" s="46">
        <v>75</v>
      </c>
    </row>
    <row r="198" spans="1:34" ht="15.95" customHeight="1" x14ac:dyDescent="0.25">
      <c r="A198" s="29" t="s">
        <v>235</v>
      </c>
      <c r="B198" s="31">
        <v>0.18333333333333335</v>
      </c>
      <c r="C198" s="31">
        <v>0.81527777777777777</v>
      </c>
      <c r="D198" s="31">
        <v>8.9583333333333334E-2</v>
      </c>
      <c r="E198" s="31">
        <v>0.90833333333333333</v>
      </c>
      <c r="F198" s="31">
        <v>0.1277777777777778</v>
      </c>
      <c r="G198" s="31">
        <v>0.87083333333333324</v>
      </c>
      <c r="H198" s="31">
        <v>0.15902777777777777</v>
      </c>
      <c r="I198" s="31">
        <v>0.83958333333333324</v>
      </c>
      <c r="J198" s="31">
        <v>0.4993055555555555</v>
      </c>
      <c r="K198" s="30">
        <f>((K217-K186)/31)+K197</f>
        <v>81</v>
      </c>
      <c r="L198" s="30">
        <f>((L217-L186)/31)+L197</f>
        <v>70.225806451612925</v>
      </c>
      <c r="M198" s="90">
        <v>72.70322580645157</v>
      </c>
      <c r="N198" s="89">
        <f t="shared" si="40"/>
        <v>17.967741935483879</v>
      </c>
      <c r="O198" s="106">
        <f t="shared" si="41"/>
        <v>33</v>
      </c>
      <c r="P198" s="108">
        <v>52.903225806451651</v>
      </c>
      <c r="Q198" s="108">
        <v>9</v>
      </c>
      <c r="R198" s="107">
        <v>29.612903225806463</v>
      </c>
      <c r="S198" s="41" t="s">
        <v>433</v>
      </c>
      <c r="T198" s="41" t="s">
        <v>433</v>
      </c>
      <c r="U198" s="33"/>
      <c r="V198" s="44">
        <v>195</v>
      </c>
      <c r="W198" s="46">
        <f t="shared" si="38"/>
        <v>10.764705882352933</v>
      </c>
      <c r="X198" s="46">
        <f t="shared" si="42"/>
        <v>17.615384615384631</v>
      </c>
      <c r="Y198" s="46">
        <f t="shared" si="44"/>
        <v>23.374999999999989</v>
      </c>
      <c r="Z198" s="46">
        <f t="shared" si="43"/>
        <v>29.58333333333329</v>
      </c>
      <c r="AA198" s="39">
        <v>60</v>
      </c>
      <c r="AC198" s="44">
        <v>195</v>
      </c>
      <c r="AD198" s="46">
        <v>75</v>
      </c>
      <c r="AE198" s="46">
        <v>75</v>
      </c>
      <c r="AF198" s="46">
        <v>75</v>
      </c>
      <c r="AG198" s="46">
        <v>75</v>
      </c>
      <c r="AH198" s="46">
        <v>75</v>
      </c>
    </row>
    <row r="199" spans="1:34" ht="15.95" customHeight="1" x14ac:dyDescent="0.25">
      <c r="A199" s="29" t="s">
        <v>236</v>
      </c>
      <c r="B199" s="31">
        <v>0.18402777777777779</v>
      </c>
      <c r="C199" s="31">
        <v>0.81527777777777777</v>
      </c>
      <c r="D199" s="31">
        <v>9.0972222222222218E-2</v>
      </c>
      <c r="E199" s="31">
        <v>0.90763888888888899</v>
      </c>
      <c r="F199" s="31">
        <v>0.12847222222222224</v>
      </c>
      <c r="G199" s="31">
        <v>0.87013888888888891</v>
      </c>
      <c r="H199" s="31">
        <v>0.15972222222222224</v>
      </c>
      <c r="I199" s="31">
        <v>0.83888888888888891</v>
      </c>
      <c r="J199" s="31">
        <v>0.5</v>
      </c>
      <c r="K199" s="30">
        <f>((K217-K186)/31)+K198</f>
        <v>81</v>
      </c>
      <c r="L199" s="30">
        <f>((L217-L186)/31)+L198</f>
        <v>70.161290322580669</v>
      </c>
      <c r="M199" s="90">
        <v>72.645161290322534</v>
      </c>
      <c r="N199" s="89">
        <f t="shared" si="40"/>
        <v>17.748387096774202</v>
      </c>
      <c r="O199" s="106">
        <f t="shared" si="41"/>
        <v>33</v>
      </c>
      <c r="P199" s="108">
        <v>52.845161290322622</v>
      </c>
      <c r="Q199" s="108">
        <v>9</v>
      </c>
      <c r="R199" s="107">
        <v>29.580645161290334</v>
      </c>
      <c r="S199" s="41" t="s">
        <v>433</v>
      </c>
      <c r="T199" s="41" t="s">
        <v>433</v>
      </c>
      <c r="U199" s="33"/>
      <c r="V199" s="44">
        <v>196</v>
      </c>
      <c r="W199" s="46">
        <f t="shared" si="38"/>
        <v>10.823529411764698</v>
      </c>
      <c r="X199" s="46">
        <f t="shared" si="42"/>
        <v>17.692307692307708</v>
      </c>
      <c r="Y199" s="46">
        <f t="shared" si="44"/>
        <v>23.499999999999989</v>
      </c>
      <c r="Z199" s="46">
        <f t="shared" si="43"/>
        <v>29.666666666666622</v>
      </c>
      <c r="AA199" s="39">
        <v>60</v>
      </c>
      <c r="AC199" s="44">
        <v>196</v>
      </c>
      <c r="AD199" s="46">
        <v>75</v>
      </c>
      <c r="AE199" s="46">
        <v>75</v>
      </c>
      <c r="AF199" s="46">
        <v>75</v>
      </c>
      <c r="AG199" s="46">
        <v>75</v>
      </c>
      <c r="AH199" s="46">
        <v>75</v>
      </c>
    </row>
    <row r="200" spans="1:34" ht="15.95" customHeight="1" x14ac:dyDescent="0.25">
      <c r="A200" s="29" t="s">
        <v>237</v>
      </c>
      <c r="B200" s="31">
        <v>0.18472222222222223</v>
      </c>
      <c r="C200" s="31">
        <v>0.81458333333333333</v>
      </c>
      <c r="D200" s="31">
        <v>9.2361111111111116E-2</v>
      </c>
      <c r="E200" s="31">
        <v>0.90694444444444444</v>
      </c>
      <c r="F200" s="31">
        <v>0.12916666666666668</v>
      </c>
      <c r="G200" s="31">
        <v>0.86944444444444446</v>
      </c>
      <c r="H200" s="31">
        <v>0.16041666666666668</v>
      </c>
      <c r="I200" s="31">
        <v>0.83888888888888891</v>
      </c>
      <c r="J200" s="31">
        <v>0.5</v>
      </c>
      <c r="K200" s="30">
        <f>((K217-K186)/31)+K199</f>
        <v>81</v>
      </c>
      <c r="L200" s="30">
        <f>((L217-L186)/31)+L199</f>
        <v>70.096774193548413</v>
      </c>
      <c r="M200" s="90">
        <v>72.587096774193498</v>
      </c>
      <c r="N200" s="89">
        <f t="shared" si="40"/>
        <v>17.529032258064525</v>
      </c>
      <c r="O200" s="106">
        <f t="shared" si="41"/>
        <v>33</v>
      </c>
      <c r="P200" s="108">
        <v>52.787096774193593</v>
      </c>
      <c r="Q200" s="108">
        <v>9</v>
      </c>
      <c r="R200" s="107">
        <v>29.548387096774206</v>
      </c>
      <c r="S200" s="41" t="s">
        <v>433</v>
      </c>
      <c r="T200" s="41" t="s">
        <v>433</v>
      </c>
      <c r="U200" s="33"/>
      <c r="V200" s="44">
        <v>197</v>
      </c>
      <c r="W200" s="46">
        <f t="shared" si="38"/>
        <v>10.882352941176462</v>
      </c>
      <c r="X200" s="46">
        <f t="shared" si="42"/>
        <v>17.769230769230784</v>
      </c>
      <c r="Y200" s="46">
        <f t="shared" si="44"/>
        <v>23.624999999999989</v>
      </c>
      <c r="Z200" s="46">
        <f t="shared" si="43"/>
        <v>29.749999999999954</v>
      </c>
      <c r="AA200" s="39">
        <v>60</v>
      </c>
      <c r="AC200" s="44">
        <v>197</v>
      </c>
      <c r="AD200" s="46">
        <v>75</v>
      </c>
      <c r="AE200" s="46">
        <v>75</v>
      </c>
      <c r="AF200" s="46">
        <v>75</v>
      </c>
      <c r="AG200" s="46">
        <v>75</v>
      </c>
      <c r="AH200" s="46">
        <v>75</v>
      </c>
    </row>
    <row r="201" spans="1:34" ht="15.95" customHeight="1" x14ac:dyDescent="0.25">
      <c r="A201" s="29" t="s">
        <v>238</v>
      </c>
      <c r="B201" s="31">
        <v>0.18541666666666667</v>
      </c>
      <c r="C201" s="31">
        <v>0.81388888888888899</v>
      </c>
      <c r="D201" s="31">
        <v>9.3055555555555558E-2</v>
      </c>
      <c r="E201" s="31">
        <v>0.90555555555555556</v>
      </c>
      <c r="F201" s="31">
        <v>0.13055555555555556</v>
      </c>
      <c r="G201" s="31">
        <v>0.86875000000000002</v>
      </c>
      <c r="H201" s="31">
        <v>0.16111111111111112</v>
      </c>
      <c r="I201" s="31">
        <v>0.83819444444444446</v>
      </c>
      <c r="J201" s="31">
        <v>0.5</v>
      </c>
      <c r="K201" s="30">
        <f>((K217-K186)/31)+K200</f>
        <v>81</v>
      </c>
      <c r="L201" s="30">
        <f>((L217-L186)/31)+L200</f>
        <v>70.032258064516157</v>
      </c>
      <c r="M201" s="90">
        <v>72.529032258064461</v>
      </c>
      <c r="N201" s="89">
        <f t="shared" si="40"/>
        <v>17.309677419354848</v>
      </c>
      <c r="O201" s="106">
        <f t="shared" si="41"/>
        <v>33</v>
      </c>
      <c r="P201" s="108">
        <v>52.729032258064564</v>
      </c>
      <c r="Q201" s="108">
        <v>9</v>
      </c>
      <c r="R201" s="107">
        <v>29.516129032258078</v>
      </c>
      <c r="S201" s="41" t="s">
        <v>433</v>
      </c>
      <c r="T201" s="41" t="s">
        <v>433</v>
      </c>
      <c r="U201" s="33"/>
      <c r="V201" s="44">
        <v>198</v>
      </c>
      <c r="W201" s="46">
        <f t="shared" si="38"/>
        <v>10.941176470588227</v>
      </c>
      <c r="X201" s="46">
        <f t="shared" si="42"/>
        <v>17.846153846153861</v>
      </c>
      <c r="Y201" s="46">
        <f t="shared" si="44"/>
        <v>23.749999999999989</v>
      </c>
      <c r="Z201" s="46">
        <f t="shared" si="43"/>
        <v>29.833333333333286</v>
      </c>
      <c r="AA201" s="39">
        <v>60</v>
      </c>
      <c r="AC201" s="44">
        <v>198</v>
      </c>
      <c r="AD201" s="46">
        <v>75</v>
      </c>
      <c r="AE201" s="46">
        <v>75</v>
      </c>
      <c r="AF201" s="46">
        <v>75</v>
      </c>
      <c r="AG201" s="46">
        <v>75</v>
      </c>
      <c r="AH201" s="46">
        <v>75</v>
      </c>
    </row>
    <row r="202" spans="1:34" ht="15.95" customHeight="1" x14ac:dyDescent="0.25">
      <c r="A202" s="29" t="s">
        <v>239</v>
      </c>
      <c r="B202" s="31">
        <v>0.18611111111111112</v>
      </c>
      <c r="C202" s="31">
        <v>0.81388888888888899</v>
      </c>
      <c r="D202" s="31">
        <v>9.4444444444444442E-2</v>
      </c>
      <c r="E202" s="31">
        <v>0.90486111111111101</v>
      </c>
      <c r="F202" s="31">
        <v>0.13125000000000001</v>
      </c>
      <c r="G202" s="31">
        <v>0.86805555555555547</v>
      </c>
      <c r="H202" s="31">
        <v>0.16180555555555556</v>
      </c>
      <c r="I202" s="31">
        <v>0.83750000000000002</v>
      </c>
      <c r="J202" s="31">
        <v>0.5</v>
      </c>
      <c r="K202" s="30">
        <f>((K217-K186)/31)+K201</f>
        <v>81</v>
      </c>
      <c r="L202" s="30">
        <f>((L217-L186)/31)+L201</f>
        <v>69.9677419354839</v>
      </c>
      <c r="M202" s="90">
        <v>72.470967741935425</v>
      </c>
      <c r="N202" s="89">
        <f t="shared" si="40"/>
        <v>17.090322580645172</v>
      </c>
      <c r="O202" s="106">
        <f t="shared" si="41"/>
        <v>33</v>
      </c>
      <c r="P202" s="108">
        <v>52.670967741935534</v>
      </c>
      <c r="Q202" s="108">
        <v>9</v>
      </c>
      <c r="R202" s="107">
        <v>29.48387096774195</v>
      </c>
      <c r="S202" s="41" t="s">
        <v>433</v>
      </c>
      <c r="T202" s="41" t="s">
        <v>433</v>
      </c>
      <c r="U202" s="33"/>
      <c r="V202" s="44">
        <v>199</v>
      </c>
      <c r="W202" s="46">
        <f t="shared" si="38"/>
        <v>10.999999999999991</v>
      </c>
      <c r="X202" s="46">
        <f t="shared" si="42"/>
        <v>17.923076923076938</v>
      </c>
      <c r="Y202" s="46">
        <f t="shared" si="44"/>
        <v>23.874999999999989</v>
      </c>
      <c r="Z202" s="46">
        <f t="shared" si="43"/>
        <v>29.916666666666618</v>
      </c>
      <c r="AA202" s="39">
        <v>60</v>
      </c>
      <c r="AC202" s="44">
        <v>199</v>
      </c>
      <c r="AD202" s="46">
        <v>75</v>
      </c>
      <c r="AE202" s="46">
        <v>75</v>
      </c>
      <c r="AF202" s="46">
        <v>75</v>
      </c>
      <c r="AG202" s="46">
        <v>75</v>
      </c>
      <c r="AH202" s="46">
        <v>75</v>
      </c>
    </row>
    <row r="203" spans="1:34" ht="15.95" customHeight="1" x14ac:dyDescent="0.25">
      <c r="A203" s="29" t="s">
        <v>240</v>
      </c>
      <c r="B203" s="31">
        <v>0.18680555555555556</v>
      </c>
      <c r="C203" s="31">
        <v>0.81319444444444444</v>
      </c>
      <c r="D203" s="31">
        <v>9.5833333333333326E-2</v>
      </c>
      <c r="E203" s="31">
        <v>0.90347222222222223</v>
      </c>
      <c r="F203" s="31">
        <v>0.13194444444444445</v>
      </c>
      <c r="G203" s="31">
        <v>0.86736111111111114</v>
      </c>
      <c r="H203" s="31">
        <v>0.16250000000000001</v>
      </c>
      <c r="I203" s="31">
        <v>0.83680555555555547</v>
      </c>
      <c r="J203" s="31">
        <v>0.5</v>
      </c>
      <c r="K203" s="30">
        <f>((K217-K186)/31)+K202</f>
        <v>81</v>
      </c>
      <c r="L203" s="30">
        <f>((L217-L186)/31)+L202</f>
        <v>69.903225806451644</v>
      </c>
      <c r="M203" s="90">
        <v>72.412903225806389</v>
      </c>
      <c r="N203" s="89">
        <f t="shared" si="40"/>
        <v>16.870967741935495</v>
      </c>
      <c r="O203" s="106">
        <f t="shared" si="41"/>
        <v>33</v>
      </c>
      <c r="P203" s="108">
        <v>52.612903225806505</v>
      </c>
      <c r="Q203" s="108">
        <v>9</v>
      </c>
      <c r="R203" s="107">
        <v>29.451612903225822</v>
      </c>
      <c r="S203" s="41" t="s">
        <v>433</v>
      </c>
      <c r="T203" s="41" t="s">
        <v>433</v>
      </c>
      <c r="U203" s="33"/>
      <c r="V203" s="44">
        <v>200</v>
      </c>
      <c r="W203" s="47">
        <v>12</v>
      </c>
      <c r="X203" s="46">
        <f t="shared" si="42"/>
        <v>18.000000000000014</v>
      </c>
      <c r="Y203" s="46">
        <f t="shared" si="44"/>
        <v>23.999999999999989</v>
      </c>
      <c r="Z203" s="46">
        <f t="shared" si="43"/>
        <v>29.99999999999995</v>
      </c>
      <c r="AA203" s="39">
        <v>60</v>
      </c>
      <c r="AC203" s="44">
        <v>200</v>
      </c>
      <c r="AD203" s="46">
        <v>75</v>
      </c>
      <c r="AE203" s="46">
        <v>75</v>
      </c>
      <c r="AF203" s="46">
        <v>75</v>
      </c>
      <c r="AG203" s="46">
        <v>75</v>
      </c>
      <c r="AH203" s="46">
        <v>75</v>
      </c>
    </row>
    <row r="204" spans="1:34" ht="15.95" customHeight="1" x14ac:dyDescent="0.25">
      <c r="A204" s="29" t="s">
        <v>241</v>
      </c>
      <c r="B204" s="31">
        <v>0.1875</v>
      </c>
      <c r="C204" s="31">
        <v>0.8125</v>
      </c>
      <c r="D204" s="31">
        <v>9.6527777777777768E-2</v>
      </c>
      <c r="E204" s="31">
        <v>0.90208333333333324</v>
      </c>
      <c r="F204" s="31">
        <v>0.13263888888888889</v>
      </c>
      <c r="G204" s="31">
        <v>0.8666666666666667</v>
      </c>
      <c r="H204" s="31">
        <v>0.16319444444444445</v>
      </c>
      <c r="I204" s="31">
        <v>0.83611111111111114</v>
      </c>
      <c r="J204" s="31">
        <v>0.5</v>
      </c>
      <c r="K204" s="30">
        <f>((K217-K186)/31)+K203</f>
        <v>81</v>
      </c>
      <c r="L204" s="30">
        <f>((L217-L186)/31)+L203</f>
        <v>69.838709677419388</v>
      </c>
      <c r="M204" s="90">
        <v>72.354838709677352</v>
      </c>
      <c r="N204" s="89">
        <f t="shared" si="40"/>
        <v>16.651612903225818</v>
      </c>
      <c r="O204" s="106">
        <f t="shared" si="41"/>
        <v>33</v>
      </c>
      <c r="P204" s="108">
        <v>52.554838709677476</v>
      </c>
      <c r="Q204" s="108">
        <v>9</v>
      </c>
      <c r="R204" s="107">
        <v>29.419354838709694</v>
      </c>
      <c r="S204" s="41" t="s">
        <v>433</v>
      </c>
      <c r="T204" s="41" t="s">
        <v>433</v>
      </c>
      <c r="U204" s="33"/>
      <c r="V204" s="43"/>
      <c r="W204" s="47"/>
      <c r="X204" s="47"/>
      <c r="AC204" s="88"/>
    </row>
    <row r="205" spans="1:34" ht="15.95" customHeight="1" x14ac:dyDescent="0.25">
      <c r="A205" s="29" t="s">
        <v>242</v>
      </c>
      <c r="B205" s="31">
        <v>0.1875</v>
      </c>
      <c r="C205" s="31">
        <v>0.81180555555555556</v>
      </c>
      <c r="D205" s="31">
        <v>9.7916666666666666E-2</v>
      </c>
      <c r="E205" s="31">
        <v>0.90138888888888891</v>
      </c>
      <c r="F205" s="31">
        <v>0.13402777777777777</v>
      </c>
      <c r="G205" s="31">
        <v>0.86597222222222225</v>
      </c>
      <c r="H205" s="31">
        <v>0.16388888888888889</v>
      </c>
      <c r="I205" s="31">
        <v>0.8354166666666667</v>
      </c>
      <c r="J205" s="31">
        <v>0.5</v>
      </c>
      <c r="K205" s="30">
        <f>((K217-K186)/31)+K204</f>
        <v>81</v>
      </c>
      <c r="L205" s="30">
        <f>((L217-L186)/31)+L204</f>
        <v>69.774193548387132</v>
      </c>
      <c r="M205" s="90">
        <v>72.296774193548316</v>
      </c>
      <c r="N205" s="89">
        <f t="shared" si="40"/>
        <v>16.432258064516141</v>
      </c>
      <c r="O205" s="106">
        <f t="shared" si="41"/>
        <v>33</v>
      </c>
      <c r="P205" s="108">
        <v>52.496774193548447</v>
      </c>
      <c r="Q205" s="108">
        <v>9</v>
      </c>
      <c r="R205" s="107">
        <v>29.387096774193566</v>
      </c>
      <c r="S205" s="41" t="s">
        <v>433</v>
      </c>
      <c r="T205" s="41" t="s">
        <v>433</v>
      </c>
      <c r="U205" s="33"/>
      <c r="V205" s="43"/>
      <c r="W205" s="47"/>
      <c r="X205" s="47"/>
      <c r="AC205" s="88"/>
    </row>
    <row r="206" spans="1:34" ht="15.95" customHeight="1" x14ac:dyDescent="0.25">
      <c r="A206" s="29" t="s">
        <v>243</v>
      </c>
      <c r="B206" s="31">
        <v>0.18819444444444444</v>
      </c>
      <c r="C206" s="31">
        <v>0.81111111111111101</v>
      </c>
      <c r="D206" s="31">
        <v>9.930555555555555E-2</v>
      </c>
      <c r="E206" s="31">
        <v>0.9</v>
      </c>
      <c r="F206" s="31">
        <v>0.13472222222222222</v>
      </c>
      <c r="G206" s="31">
        <v>0.86458333333333337</v>
      </c>
      <c r="H206" s="31">
        <v>0.16458333333333333</v>
      </c>
      <c r="I206" s="31">
        <v>0.83472222222222225</v>
      </c>
      <c r="J206" s="31">
        <v>0.5</v>
      </c>
      <c r="K206" s="30">
        <f>((K217-K186)/31)+K205</f>
        <v>81</v>
      </c>
      <c r="L206" s="30">
        <f>((L217-L186)/31)+L205</f>
        <v>69.709677419354875</v>
      </c>
      <c r="M206" s="90">
        <v>72.23870967741928</v>
      </c>
      <c r="N206" s="89">
        <f t="shared" si="40"/>
        <v>16.212903225806464</v>
      </c>
      <c r="O206" s="106">
        <f t="shared" si="41"/>
        <v>33</v>
      </c>
      <c r="P206" s="108">
        <v>52.438709677419418</v>
      </c>
      <c r="Q206" s="108">
        <v>9</v>
      </c>
      <c r="R206" s="107">
        <v>29.354838709677438</v>
      </c>
      <c r="S206" s="41" t="s">
        <v>433</v>
      </c>
      <c r="T206" s="41" t="s">
        <v>433</v>
      </c>
      <c r="U206" s="33"/>
      <c r="V206" s="43"/>
      <c r="W206" s="47"/>
      <c r="X206" s="47"/>
      <c r="AC206" s="88"/>
    </row>
    <row r="207" spans="1:34" ht="15.95" customHeight="1" x14ac:dyDescent="0.25">
      <c r="A207" s="29" t="s">
        <v>244</v>
      </c>
      <c r="B207" s="31">
        <v>0.18888888888888888</v>
      </c>
      <c r="C207" s="31">
        <v>0.81041666666666667</v>
      </c>
      <c r="D207" s="31">
        <v>9.9999999999999992E-2</v>
      </c>
      <c r="E207" s="31">
        <v>0.89930555555555547</v>
      </c>
      <c r="F207" s="31">
        <v>0.13541666666666666</v>
      </c>
      <c r="G207" s="31">
        <v>0.86388888888888893</v>
      </c>
      <c r="H207" s="31">
        <v>0.16527777777777777</v>
      </c>
      <c r="I207" s="31">
        <v>0.8340277777777777</v>
      </c>
      <c r="J207" s="31">
        <v>0.5</v>
      </c>
      <c r="K207" s="30">
        <f>((K217-K186)/31)+K206</f>
        <v>81</v>
      </c>
      <c r="L207" s="30">
        <f>((L217-L186)/31)+L206</f>
        <v>69.645161290322619</v>
      </c>
      <c r="M207" s="90">
        <v>72.180645161290244</v>
      </c>
      <c r="N207" s="89">
        <f t="shared" si="40"/>
        <v>15.993548387096787</v>
      </c>
      <c r="O207" s="106">
        <f t="shared" si="41"/>
        <v>33</v>
      </c>
      <c r="P207" s="108">
        <v>52.380645161290389</v>
      </c>
      <c r="Q207" s="108">
        <v>9</v>
      </c>
      <c r="R207" s="107">
        <v>29.32258064516131</v>
      </c>
      <c r="S207" s="41" t="s">
        <v>433</v>
      </c>
      <c r="T207" s="41" t="s">
        <v>433</v>
      </c>
      <c r="U207" s="33"/>
      <c r="V207" s="43"/>
      <c r="W207" s="47"/>
      <c r="X207" s="47"/>
      <c r="AC207" s="88"/>
    </row>
    <row r="208" spans="1:34" ht="15.95" customHeight="1" x14ac:dyDescent="0.25">
      <c r="A208" s="29" t="s">
        <v>245</v>
      </c>
      <c r="B208" s="31">
        <v>0.18958333333333333</v>
      </c>
      <c r="C208" s="31">
        <v>0.80972222222222223</v>
      </c>
      <c r="D208" s="31">
        <v>0.1013888888888889</v>
      </c>
      <c r="E208" s="31">
        <v>0.8979166666666667</v>
      </c>
      <c r="F208" s="31">
        <v>0.13680555555555554</v>
      </c>
      <c r="G208" s="31">
        <v>0.86319444444444438</v>
      </c>
      <c r="H208" s="31">
        <v>0.16666666666666666</v>
      </c>
      <c r="I208" s="31">
        <v>0.83333333333333337</v>
      </c>
      <c r="J208" s="31">
        <v>0.5</v>
      </c>
      <c r="K208" s="30">
        <f>((K217-K186)/31)+K207</f>
        <v>81</v>
      </c>
      <c r="L208" s="30">
        <f>((L217-L186)/31)+L207</f>
        <v>69.580645161290363</v>
      </c>
      <c r="M208" s="90">
        <v>72.122580645161207</v>
      </c>
      <c r="N208" s="89">
        <f t="shared" si="40"/>
        <v>15.77419354838711</v>
      </c>
      <c r="O208" s="106">
        <f t="shared" si="41"/>
        <v>33</v>
      </c>
      <c r="P208" s="108">
        <v>52.322580645161359</v>
      </c>
      <c r="Q208" s="108">
        <v>9</v>
      </c>
      <c r="R208" s="107">
        <v>29.290322580645181</v>
      </c>
      <c r="S208" s="41" t="s">
        <v>433</v>
      </c>
      <c r="T208" s="41" t="s">
        <v>433</v>
      </c>
      <c r="U208" s="33"/>
      <c r="V208" s="43"/>
      <c r="W208" s="47"/>
      <c r="X208" s="47"/>
      <c r="AC208" s="88"/>
    </row>
    <row r="209" spans="1:29" ht="15.95" customHeight="1" x14ac:dyDescent="0.25">
      <c r="A209" s="29" t="s">
        <v>246</v>
      </c>
      <c r="B209" s="31">
        <v>0.19027777777777777</v>
      </c>
      <c r="C209" s="31">
        <v>0.80902777777777779</v>
      </c>
      <c r="D209" s="31">
        <v>0.10277777777777779</v>
      </c>
      <c r="E209" s="31">
        <v>0.8965277777777777</v>
      </c>
      <c r="F209" s="31">
        <v>0.13749999999999998</v>
      </c>
      <c r="G209" s="31">
        <v>0.8618055555555556</v>
      </c>
      <c r="H209" s="31">
        <v>0.1673611111111111</v>
      </c>
      <c r="I209" s="31">
        <v>0.83263888888888893</v>
      </c>
      <c r="J209" s="31">
        <v>0.5</v>
      </c>
      <c r="K209" s="30">
        <f>((K217-K186)/31)+K208</f>
        <v>81</v>
      </c>
      <c r="L209" s="30">
        <f>((L217-L186)/31)+L208</f>
        <v>69.516129032258107</v>
      </c>
      <c r="M209" s="90">
        <v>72.064516129032171</v>
      </c>
      <c r="N209" s="89">
        <f t="shared" si="40"/>
        <v>15.554838709677433</v>
      </c>
      <c r="O209" s="106">
        <f t="shared" si="41"/>
        <v>33</v>
      </c>
      <c r="P209" s="108">
        <v>52.26451612903233</v>
      </c>
      <c r="Q209" s="108">
        <v>9</v>
      </c>
      <c r="R209" s="107">
        <v>29.258064516129053</v>
      </c>
      <c r="S209" s="41" t="s">
        <v>433</v>
      </c>
      <c r="T209" s="41" t="s">
        <v>433</v>
      </c>
      <c r="U209" s="33"/>
      <c r="V209" s="43"/>
      <c r="W209" s="47"/>
      <c r="X209" s="47"/>
      <c r="AC209" s="88"/>
    </row>
    <row r="210" spans="1:29" ht="15.95" customHeight="1" x14ac:dyDescent="0.25">
      <c r="A210" s="29" t="s">
        <v>247</v>
      </c>
      <c r="B210" s="31">
        <v>0.19097222222222221</v>
      </c>
      <c r="C210" s="31">
        <v>0.80833333333333324</v>
      </c>
      <c r="D210" s="31">
        <v>0.10416666666666667</v>
      </c>
      <c r="E210" s="31">
        <v>0.89513888888888893</v>
      </c>
      <c r="F210" s="31">
        <v>0.13819444444444443</v>
      </c>
      <c r="G210" s="31">
        <v>0.86111111111111116</v>
      </c>
      <c r="H210" s="31">
        <v>0.16805555555555554</v>
      </c>
      <c r="I210" s="31">
        <v>0.83194444444444438</v>
      </c>
      <c r="J210" s="31">
        <v>0.5</v>
      </c>
      <c r="K210" s="30">
        <f>((K217-K186)/31)+K209</f>
        <v>81</v>
      </c>
      <c r="L210" s="30">
        <f>((L217-L186)/31)+L209</f>
        <v>69.45161290322585</v>
      </c>
      <c r="M210" s="90">
        <v>72.006451612903135</v>
      </c>
      <c r="N210" s="89">
        <f t="shared" si="40"/>
        <v>15.335483870967757</v>
      </c>
      <c r="O210" s="106">
        <f t="shared" si="41"/>
        <v>33</v>
      </c>
      <c r="P210" s="108">
        <v>52.206451612903301</v>
      </c>
      <c r="Q210" s="108">
        <v>9</v>
      </c>
      <c r="R210" s="107">
        <v>29.225806451612925</v>
      </c>
      <c r="S210" s="41" t="s">
        <v>433</v>
      </c>
      <c r="T210" s="41" t="s">
        <v>433</v>
      </c>
      <c r="U210" s="33"/>
      <c r="V210" s="43"/>
      <c r="W210" s="47"/>
      <c r="X210" s="47"/>
      <c r="AC210" s="88"/>
    </row>
    <row r="211" spans="1:29" ht="15.95" customHeight="1" x14ac:dyDescent="0.25">
      <c r="A211" s="29" t="s">
        <v>248</v>
      </c>
      <c r="B211" s="31">
        <v>0.19236111111111112</v>
      </c>
      <c r="C211" s="31">
        <v>0.80763888888888891</v>
      </c>
      <c r="D211" s="31">
        <v>0.10555555555555556</v>
      </c>
      <c r="E211" s="31">
        <v>0.89374999999999993</v>
      </c>
      <c r="F211" s="31">
        <v>0.13958333333333334</v>
      </c>
      <c r="G211" s="31">
        <v>0.86041666666666661</v>
      </c>
      <c r="H211" s="31">
        <v>0.16874999999999998</v>
      </c>
      <c r="I211" s="31">
        <v>0.83124999999999993</v>
      </c>
      <c r="J211" s="31">
        <v>0.5</v>
      </c>
      <c r="K211" s="30">
        <f>((K217-K186)/31)+K210</f>
        <v>81</v>
      </c>
      <c r="L211" s="30">
        <f>((L217-L186)/31)+L210</f>
        <v>69.387096774193594</v>
      </c>
      <c r="M211" s="90">
        <v>71.948387096774098</v>
      </c>
      <c r="N211" s="89">
        <f t="shared" si="40"/>
        <v>15.11612903225808</v>
      </c>
      <c r="O211" s="106">
        <f t="shared" si="41"/>
        <v>33</v>
      </c>
      <c r="P211" s="108">
        <v>52.148387096774272</v>
      </c>
      <c r="Q211" s="108">
        <v>9</v>
      </c>
      <c r="R211" s="107">
        <v>29.193548387096797</v>
      </c>
      <c r="S211" s="41" t="s">
        <v>433</v>
      </c>
      <c r="T211" s="41" t="s">
        <v>433</v>
      </c>
      <c r="U211" s="33"/>
      <c r="V211" s="43"/>
      <c r="W211" s="47"/>
      <c r="X211" s="47"/>
      <c r="AC211" s="88"/>
    </row>
    <row r="212" spans="1:29" ht="15.95" customHeight="1" x14ac:dyDescent="0.25">
      <c r="A212" s="29" t="s">
        <v>249</v>
      </c>
      <c r="B212" s="31">
        <v>0.19305555555555554</v>
      </c>
      <c r="C212" s="31">
        <v>0.80694444444444446</v>
      </c>
      <c r="D212" s="31">
        <v>0.10625</v>
      </c>
      <c r="E212" s="31">
        <v>0.8930555555555556</v>
      </c>
      <c r="F212" s="31">
        <v>0.14027777777777778</v>
      </c>
      <c r="G212" s="31">
        <v>0.85902777777777783</v>
      </c>
      <c r="H212" s="31">
        <v>0.16944444444444443</v>
      </c>
      <c r="I212" s="31">
        <v>0.82986111111111116</v>
      </c>
      <c r="J212" s="31">
        <v>0.5</v>
      </c>
      <c r="K212" s="30">
        <f>((K217-K186)/31)+K211</f>
        <v>81</v>
      </c>
      <c r="L212" s="30">
        <f>((L217-L186)/31)+L211</f>
        <v>69.322580645161338</v>
      </c>
      <c r="M212" s="90">
        <v>71.890322580645062</v>
      </c>
      <c r="N212" s="89">
        <f t="shared" si="40"/>
        <v>14.896774193548403</v>
      </c>
      <c r="O212" s="106">
        <f t="shared" si="41"/>
        <v>33</v>
      </c>
      <c r="P212" s="108">
        <v>52.090322580645243</v>
      </c>
      <c r="Q212" s="108">
        <v>9</v>
      </c>
      <c r="R212" s="107">
        <v>29.161290322580669</v>
      </c>
      <c r="S212" s="41" t="s">
        <v>433</v>
      </c>
      <c r="T212" s="41" t="s">
        <v>433</v>
      </c>
      <c r="U212" s="33"/>
      <c r="V212" s="43"/>
      <c r="W212" s="47"/>
      <c r="X212" s="47"/>
      <c r="AC212" s="88"/>
    </row>
    <row r="213" spans="1:29" ht="15.95" customHeight="1" x14ac:dyDescent="0.25">
      <c r="A213" s="29" t="s">
        <v>250</v>
      </c>
      <c r="B213" s="31">
        <v>0.19375000000000001</v>
      </c>
      <c r="C213" s="31">
        <v>0.80625000000000002</v>
      </c>
      <c r="D213" s="31">
        <v>0.1076388888888889</v>
      </c>
      <c r="E213" s="31">
        <v>0.89166666666666661</v>
      </c>
      <c r="F213" s="31">
        <v>0.14097222222222222</v>
      </c>
      <c r="G213" s="31">
        <v>0.85833333333333339</v>
      </c>
      <c r="H213" s="31">
        <v>0.17013888888888887</v>
      </c>
      <c r="I213" s="31">
        <v>0.82916666666666661</v>
      </c>
      <c r="J213" s="31">
        <v>0.5</v>
      </c>
      <c r="K213" s="30">
        <f>((K217-K186)/31)+K212</f>
        <v>81</v>
      </c>
      <c r="L213" s="30">
        <f>((L217-L186)/31)+L212</f>
        <v>69.258064516129082</v>
      </c>
      <c r="M213" s="90">
        <v>71.832258064516026</v>
      </c>
      <c r="N213" s="89">
        <f t="shared" si="40"/>
        <v>14.677419354838726</v>
      </c>
      <c r="O213" s="106">
        <f t="shared" si="41"/>
        <v>33</v>
      </c>
      <c r="P213" s="108">
        <v>52.032258064516213</v>
      </c>
      <c r="Q213" s="108">
        <v>9</v>
      </c>
      <c r="R213" s="107">
        <v>29.129032258064541</v>
      </c>
      <c r="S213" s="41" t="s">
        <v>433</v>
      </c>
      <c r="T213" s="41" t="s">
        <v>433</v>
      </c>
      <c r="U213" s="33"/>
      <c r="V213" s="43"/>
      <c r="W213" s="47"/>
      <c r="X213" s="47"/>
      <c r="AC213" s="88"/>
    </row>
    <row r="214" spans="1:29" ht="15.95" customHeight="1" x14ac:dyDescent="0.25">
      <c r="A214" s="29" t="s">
        <v>251</v>
      </c>
      <c r="B214" s="31">
        <v>0.19444444444444445</v>
      </c>
      <c r="C214" s="31">
        <v>0.80555555555555547</v>
      </c>
      <c r="D214" s="31">
        <v>0.10902777777777778</v>
      </c>
      <c r="E214" s="31">
        <v>0.89027777777777783</v>
      </c>
      <c r="F214" s="31">
        <v>0.1423611111111111</v>
      </c>
      <c r="G214" s="31">
        <v>0.8569444444444444</v>
      </c>
      <c r="H214" s="31">
        <v>0.17152777777777775</v>
      </c>
      <c r="I214" s="31">
        <v>0.82847222222222217</v>
      </c>
      <c r="J214" s="31">
        <v>0.5</v>
      </c>
      <c r="K214" s="30">
        <f>((K217-K186)/31)+K213</f>
        <v>81</v>
      </c>
      <c r="L214" s="30">
        <f>((L217-L186)/31)+L213</f>
        <v>69.193548387096826</v>
      </c>
      <c r="M214" s="90">
        <v>71.77419354838699</v>
      </c>
      <c r="N214" s="89">
        <f t="shared" si="40"/>
        <v>14.458064516129049</v>
      </c>
      <c r="O214" s="106">
        <f t="shared" si="41"/>
        <v>33</v>
      </c>
      <c r="P214" s="108">
        <v>51.974193548387184</v>
      </c>
      <c r="Q214" s="108">
        <v>9</v>
      </c>
      <c r="R214" s="107">
        <v>29.096774193548413</v>
      </c>
      <c r="S214" s="41" t="s">
        <v>433</v>
      </c>
      <c r="T214" s="41" t="s">
        <v>433</v>
      </c>
      <c r="U214" s="33"/>
      <c r="V214" s="43"/>
      <c r="W214" s="47"/>
      <c r="X214" s="47"/>
      <c r="AC214" s="88"/>
    </row>
    <row r="215" spans="1:29" ht="15.95" customHeight="1" x14ac:dyDescent="0.25">
      <c r="A215" s="29" t="s">
        <v>252</v>
      </c>
      <c r="B215" s="31">
        <v>0.19513888888888889</v>
      </c>
      <c r="C215" s="31">
        <v>0.80486111111111114</v>
      </c>
      <c r="D215" s="31">
        <v>0.11041666666666666</v>
      </c>
      <c r="E215" s="31">
        <v>0.88888888888888884</v>
      </c>
      <c r="F215" s="31">
        <v>0.14305555555555557</v>
      </c>
      <c r="G215" s="31">
        <v>0.85625000000000007</v>
      </c>
      <c r="H215" s="31">
        <v>0.17222222222222225</v>
      </c>
      <c r="I215" s="31">
        <v>0.82777777777777783</v>
      </c>
      <c r="J215" s="31">
        <v>0.5</v>
      </c>
      <c r="K215" s="30">
        <f>((K217-K186)/31)+K214</f>
        <v>81</v>
      </c>
      <c r="L215" s="30">
        <f>((L217-L186)/31)+L214</f>
        <v>69.129032258064569</v>
      </c>
      <c r="M215" s="90">
        <v>71.716129032257953</v>
      </c>
      <c r="N215" s="89">
        <f t="shared" si="40"/>
        <v>14.238709677419372</v>
      </c>
      <c r="O215" s="106">
        <f t="shared" si="41"/>
        <v>33</v>
      </c>
      <c r="P215" s="108">
        <v>51.916129032258155</v>
      </c>
      <c r="Q215" s="108">
        <v>9</v>
      </c>
      <c r="R215" s="107">
        <v>29.064516129032285</v>
      </c>
      <c r="S215" s="41" t="s">
        <v>433</v>
      </c>
      <c r="T215" s="41" t="s">
        <v>433</v>
      </c>
      <c r="U215" s="33"/>
      <c r="V215" s="43"/>
      <c r="W215" s="47"/>
      <c r="X215" s="47"/>
      <c r="AC215" s="88"/>
    </row>
    <row r="216" spans="1:29" ht="15.95" customHeight="1" x14ac:dyDescent="0.25">
      <c r="A216" s="29" t="s">
        <v>253</v>
      </c>
      <c r="B216" s="31">
        <v>0.19583333333333333</v>
      </c>
      <c r="C216" s="31">
        <v>0.8041666666666667</v>
      </c>
      <c r="D216" s="31">
        <v>0.11180555555555556</v>
      </c>
      <c r="E216" s="31">
        <v>0.88750000000000007</v>
      </c>
      <c r="F216" s="31">
        <v>0.14444444444444446</v>
      </c>
      <c r="G216" s="31">
        <v>0.85486111111111107</v>
      </c>
      <c r="H216" s="31">
        <v>0.17291666666666669</v>
      </c>
      <c r="I216" s="31">
        <v>0.82638888888888884</v>
      </c>
      <c r="J216" s="31">
        <v>0.5</v>
      </c>
      <c r="K216" s="30">
        <f>((K217-K186)/31)+K215</f>
        <v>81</v>
      </c>
      <c r="L216" s="30">
        <f>((L217-L186)/31)+L215</f>
        <v>69.064516129032313</v>
      </c>
      <c r="M216" s="90">
        <v>71.658064516128917</v>
      </c>
      <c r="N216" s="89">
        <f t="shared" si="40"/>
        <v>14.019354838709695</v>
      </c>
      <c r="O216" s="106">
        <f t="shared" si="41"/>
        <v>33</v>
      </c>
      <c r="P216" s="108">
        <v>51.858064516129126</v>
      </c>
      <c r="Q216" s="108">
        <v>9</v>
      </c>
      <c r="R216" s="107">
        <v>29.032258064516157</v>
      </c>
      <c r="S216" s="41" t="s">
        <v>433</v>
      </c>
      <c r="T216" s="41" t="s">
        <v>433</v>
      </c>
      <c r="U216" s="33"/>
      <c r="V216" s="43"/>
      <c r="W216" s="47"/>
      <c r="X216" s="47"/>
      <c r="AC216" s="88"/>
    </row>
    <row r="217" spans="1:29" ht="15.95" customHeight="1" x14ac:dyDescent="0.25">
      <c r="A217" s="29" t="s">
        <v>254</v>
      </c>
      <c r="B217" s="31">
        <v>0.19652777777777777</v>
      </c>
      <c r="C217" s="31">
        <v>0.8027777777777777</v>
      </c>
      <c r="D217" s="31">
        <v>0.1125</v>
      </c>
      <c r="E217" s="31">
        <v>0.88611111111111107</v>
      </c>
      <c r="F217" s="31">
        <v>0.1451388888888889</v>
      </c>
      <c r="G217" s="31">
        <v>0.85416666666666663</v>
      </c>
      <c r="H217" s="31">
        <v>0.17361111111111113</v>
      </c>
      <c r="I217" s="31">
        <v>0.8256944444444444</v>
      </c>
      <c r="J217" s="31">
        <v>0.5</v>
      </c>
      <c r="K217" s="30">
        <v>81</v>
      </c>
      <c r="L217" s="30">
        <v>69</v>
      </c>
      <c r="M217" s="90">
        <v>71.599999999999994</v>
      </c>
      <c r="N217" s="89">
        <v>13.8</v>
      </c>
      <c r="O217" s="106">
        <v>33</v>
      </c>
      <c r="P217" s="108">
        <v>51.8</v>
      </c>
      <c r="Q217" s="108">
        <v>9</v>
      </c>
      <c r="R217" s="107">
        <v>29</v>
      </c>
      <c r="S217" s="41" t="s">
        <v>434</v>
      </c>
      <c r="T217" s="41" t="s">
        <v>433</v>
      </c>
      <c r="U217" s="33"/>
      <c r="V217" s="43"/>
      <c r="W217" s="47"/>
      <c r="X217" s="47"/>
      <c r="AC217" s="30"/>
    </row>
    <row r="218" spans="1:29" ht="15.95" customHeight="1" x14ac:dyDescent="0.25">
      <c r="A218" s="29" t="s">
        <v>255</v>
      </c>
      <c r="B218" s="31">
        <v>0.19722222222222222</v>
      </c>
      <c r="C218" s="31">
        <v>0.80208333333333337</v>
      </c>
      <c r="D218" s="31">
        <v>0.11388888888888889</v>
      </c>
      <c r="E218" s="31">
        <v>0.8847222222222223</v>
      </c>
      <c r="F218" s="31">
        <v>0.14652777777777778</v>
      </c>
      <c r="G218" s="31">
        <v>0.85277777777777775</v>
      </c>
      <c r="H218" s="31">
        <v>0.17430555555555557</v>
      </c>
      <c r="I218" s="31">
        <v>0.82500000000000007</v>
      </c>
      <c r="J218" s="31">
        <v>0.5</v>
      </c>
      <c r="K218" s="30">
        <f>((K248-K217)/31)+K217</f>
        <v>80.774193548387103</v>
      </c>
      <c r="L218" s="30">
        <f>((L248-L217)/31)+L217</f>
        <v>68.774193548387103</v>
      </c>
      <c r="M218" s="90">
        <v>71.309677419354827</v>
      </c>
      <c r="N218" s="89">
        <f>((($N$248-$N$217)/31)+N217)</f>
        <v>13.787096774193548</v>
      </c>
      <c r="O218" s="106">
        <f>(($O$248-$O$217)/31)+O217</f>
        <v>33</v>
      </c>
      <c r="P218" s="108">
        <v>51.509677419354837</v>
      </c>
      <c r="Q218" s="108">
        <v>9</v>
      </c>
      <c r="R218" s="107">
        <v>28.93548387096774</v>
      </c>
      <c r="S218" s="41" t="s">
        <v>434</v>
      </c>
      <c r="T218" s="41" t="s">
        <v>433</v>
      </c>
      <c r="U218" s="33"/>
      <c r="V218" s="43"/>
      <c r="W218" s="47"/>
      <c r="X218" s="47"/>
      <c r="AC218" s="88"/>
    </row>
    <row r="219" spans="1:29" ht="15.95" customHeight="1" x14ac:dyDescent="0.25">
      <c r="A219" s="29" t="s">
        <v>256</v>
      </c>
      <c r="B219" s="31">
        <v>0.19791666666666666</v>
      </c>
      <c r="C219" s="31">
        <v>0.80138888888888893</v>
      </c>
      <c r="D219" s="31">
        <v>0.11527777777777777</v>
      </c>
      <c r="E219" s="31">
        <v>0.8833333333333333</v>
      </c>
      <c r="F219" s="31">
        <v>0.14722222222222223</v>
      </c>
      <c r="G219" s="31">
        <v>0.8520833333333333</v>
      </c>
      <c r="H219" s="31">
        <v>0.17569444444444446</v>
      </c>
      <c r="I219" s="31">
        <v>0.82361111111111107</v>
      </c>
      <c r="J219" s="31">
        <v>0.5</v>
      </c>
      <c r="K219" s="30">
        <f>((K248-K217)/31)+K218</f>
        <v>80.548387096774206</v>
      </c>
      <c r="L219" s="30">
        <f>((L248-L217)/31)+L218</f>
        <v>68.548387096774206</v>
      </c>
      <c r="M219" s="90">
        <v>71.01935483870966</v>
      </c>
      <c r="N219" s="89">
        <f t="shared" ref="N219:N247" si="45">((($N$248-$N$217)/31)+N218)</f>
        <v>13.774193548387096</v>
      </c>
      <c r="O219" s="106">
        <f t="shared" ref="O219:O247" si="46">(($O$248-$O$217)/31)+O218</f>
        <v>33</v>
      </c>
      <c r="P219" s="108">
        <v>51.219354838709677</v>
      </c>
      <c r="Q219" s="108">
        <v>9</v>
      </c>
      <c r="R219" s="107">
        <v>28.87096774193548</v>
      </c>
      <c r="S219" s="41" t="s">
        <v>434</v>
      </c>
      <c r="T219" s="41" t="s">
        <v>433</v>
      </c>
      <c r="U219" s="33"/>
      <c r="V219" s="43"/>
      <c r="W219" s="47"/>
      <c r="X219" s="47"/>
      <c r="AC219" s="88"/>
    </row>
    <row r="220" spans="1:29" ht="15.95" customHeight="1" x14ac:dyDescent="0.25">
      <c r="A220" s="29" t="s">
        <v>257</v>
      </c>
      <c r="B220" s="31">
        <v>0.1986111111111111</v>
      </c>
      <c r="C220" s="31">
        <v>0.80069444444444438</v>
      </c>
      <c r="D220" s="31">
        <v>0.11666666666666665</v>
      </c>
      <c r="E220" s="31">
        <v>0.88194444444444453</v>
      </c>
      <c r="F220" s="31">
        <v>0.14791666666666667</v>
      </c>
      <c r="G220" s="31">
        <v>0.85069444444444453</v>
      </c>
      <c r="H220" s="31">
        <v>0.1763888888888889</v>
      </c>
      <c r="I220" s="31">
        <v>0.82291666666666663</v>
      </c>
      <c r="J220" s="31">
        <v>0.5</v>
      </c>
      <c r="K220" s="30">
        <f>((K248-K217)/31)+K219</f>
        <v>80.32258064516131</v>
      </c>
      <c r="L220" s="30">
        <f>((L248-L217)/31)+L219</f>
        <v>68.32258064516131</v>
      </c>
      <c r="M220" s="90">
        <v>70.729032258064493</v>
      </c>
      <c r="N220" s="89">
        <f t="shared" si="45"/>
        <v>13.761290322580644</v>
      </c>
      <c r="O220" s="106">
        <f t="shared" si="46"/>
        <v>33</v>
      </c>
      <c r="P220" s="108">
        <v>50.929032258064517</v>
      </c>
      <c r="Q220" s="108">
        <v>9</v>
      </c>
      <c r="R220" s="107">
        <v>28.806451612903221</v>
      </c>
      <c r="S220" s="41" t="s">
        <v>434</v>
      </c>
      <c r="T220" s="41" t="s">
        <v>433</v>
      </c>
      <c r="U220" s="33"/>
      <c r="V220" s="43"/>
      <c r="W220" s="47"/>
      <c r="X220" s="47"/>
      <c r="AC220" s="88"/>
    </row>
    <row r="221" spans="1:29" ht="15.95" customHeight="1" x14ac:dyDescent="0.25">
      <c r="A221" s="29" t="s">
        <v>258</v>
      </c>
      <c r="B221" s="31">
        <v>0.19930555555555554</v>
      </c>
      <c r="C221" s="31">
        <v>0.7993055555555556</v>
      </c>
      <c r="D221" s="31">
        <v>0.11805555555555557</v>
      </c>
      <c r="E221" s="31">
        <v>0.88055555555555554</v>
      </c>
      <c r="F221" s="31">
        <v>0.14930555555555555</v>
      </c>
      <c r="G221" s="31">
        <v>0.84930555555555554</v>
      </c>
      <c r="H221" s="31">
        <v>0.17708333333333334</v>
      </c>
      <c r="I221" s="31">
        <v>0.82152777777777775</v>
      </c>
      <c r="J221" s="31">
        <v>0.5</v>
      </c>
      <c r="K221" s="30">
        <f>((K248-K217)/31)+K220</f>
        <v>80.096774193548413</v>
      </c>
      <c r="L221" s="30">
        <f>((L248-L217)/31)+L220</f>
        <v>68.096774193548413</v>
      </c>
      <c r="M221" s="90">
        <v>70.438709677419325</v>
      </c>
      <c r="N221" s="89">
        <f t="shared" si="45"/>
        <v>13.748387096774191</v>
      </c>
      <c r="O221" s="106">
        <f t="shared" si="46"/>
        <v>33</v>
      </c>
      <c r="P221" s="108">
        <v>50.638709677419357</v>
      </c>
      <c r="Q221" s="108">
        <v>9</v>
      </c>
      <c r="R221" s="107">
        <v>28.741935483870961</v>
      </c>
      <c r="S221" s="41" t="s">
        <v>434</v>
      </c>
      <c r="T221" s="41" t="s">
        <v>433</v>
      </c>
      <c r="U221" s="33"/>
      <c r="V221" s="43"/>
      <c r="W221" s="47"/>
      <c r="X221" s="47"/>
      <c r="AC221" s="88"/>
    </row>
    <row r="222" spans="1:29" ht="15.95" customHeight="1" x14ac:dyDescent="0.25">
      <c r="A222" s="29" t="s">
        <v>259</v>
      </c>
      <c r="B222" s="31">
        <v>0.19999999999999998</v>
      </c>
      <c r="C222" s="31">
        <v>0.79861111111111116</v>
      </c>
      <c r="D222" s="31">
        <v>0.11875000000000001</v>
      </c>
      <c r="E222" s="31">
        <v>0.87916666666666676</v>
      </c>
      <c r="F222" s="31">
        <v>0.15</v>
      </c>
      <c r="G222" s="31">
        <v>0.84861111111111109</v>
      </c>
      <c r="H222" s="31">
        <v>0.17777777777777778</v>
      </c>
      <c r="I222" s="31">
        <v>0.8208333333333333</v>
      </c>
      <c r="J222" s="31">
        <v>0.5</v>
      </c>
      <c r="K222" s="30">
        <f>((K248-K217)/31)+K221</f>
        <v>79.870967741935516</v>
      </c>
      <c r="L222" s="30">
        <f>((L248-L217)/31)+L221</f>
        <v>67.870967741935516</v>
      </c>
      <c r="M222" s="90">
        <v>70.148387096774158</v>
      </c>
      <c r="N222" s="89">
        <f t="shared" si="45"/>
        <v>13.735483870967739</v>
      </c>
      <c r="O222" s="106">
        <f t="shared" si="46"/>
        <v>33</v>
      </c>
      <c r="P222" s="108">
        <v>50.348387096774196</v>
      </c>
      <c r="Q222" s="108">
        <v>9</v>
      </c>
      <c r="R222" s="107">
        <v>28.677419354838701</v>
      </c>
      <c r="S222" s="41" t="s">
        <v>434</v>
      </c>
      <c r="T222" s="41" t="s">
        <v>433</v>
      </c>
      <c r="U222" s="33"/>
      <c r="V222" s="43"/>
      <c r="W222" s="47"/>
      <c r="X222" s="47"/>
      <c r="AC222" s="88"/>
    </row>
    <row r="223" spans="1:29" ht="15.95" customHeight="1" x14ac:dyDescent="0.25">
      <c r="A223" s="29" t="s">
        <v>260</v>
      </c>
      <c r="B223" s="31">
        <v>0.20069444444444443</v>
      </c>
      <c r="C223" s="31">
        <v>0.79791666666666661</v>
      </c>
      <c r="D223" s="31">
        <v>0.12013888888888889</v>
      </c>
      <c r="E223" s="31">
        <v>0.87777777777777777</v>
      </c>
      <c r="F223" s="31">
        <v>0.15138888888888888</v>
      </c>
      <c r="G223" s="31">
        <v>0.84722222222222221</v>
      </c>
      <c r="H223" s="31">
        <v>0.17847222222222223</v>
      </c>
      <c r="I223" s="31">
        <v>0.81944444444444453</v>
      </c>
      <c r="J223" s="31">
        <v>0.4993055555555555</v>
      </c>
      <c r="K223" s="30">
        <f>((K248-K217)/31)+K222</f>
        <v>79.645161290322619</v>
      </c>
      <c r="L223" s="30">
        <f>((L248-L217)/31)+L222</f>
        <v>67.645161290322619</v>
      </c>
      <c r="M223" s="90">
        <v>69.858064516128991</v>
      </c>
      <c r="N223" s="89">
        <f t="shared" si="45"/>
        <v>13.722580645161287</v>
      </c>
      <c r="O223" s="106">
        <f t="shared" si="46"/>
        <v>33</v>
      </c>
      <c r="P223" s="108">
        <v>50.058064516129036</v>
      </c>
      <c r="Q223" s="108">
        <v>9</v>
      </c>
      <c r="R223" s="107">
        <v>28.612903225806441</v>
      </c>
      <c r="S223" s="41" t="s">
        <v>434</v>
      </c>
      <c r="T223" s="41" t="s">
        <v>433</v>
      </c>
      <c r="U223" s="33"/>
      <c r="V223" s="43"/>
      <c r="W223" s="47"/>
      <c r="X223" s="47"/>
      <c r="AC223" s="88"/>
    </row>
    <row r="224" spans="1:29" ht="15.95" customHeight="1" x14ac:dyDescent="0.25">
      <c r="A224" s="29" t="s">
        <v>261</v>
      </c>
      <c r="B224" s="31">
        <v>0.20208333333333331</v>
      </c>
      <c r="C224" s="31">
        <v>0.79652777777777783</v>
      </c>
      <c r="D224" s="31">
        <v>0.12152777777777778</v>
      </c>
      <c r="E224" s="31">
        <v>0.87638888888888899</v>
      </c>
      <c r="F224" s="31">
        <v>0.15208333333333332</v>
      </c>
      <c r="G224" s="31">
        <v>0.84583333333333333</v>
      </c>
      <c r="H224" s="31">
        <v>0.17986111111111111</v>
      </c>
      <c r="I224" s="31">
        <v>0.81874999999999998</v>
      </c>
      <c r="J224" s="31">
        <v>0.4993055555555555</v>
      </c>
      <c r="K224" s="30">
        <f>((K248-K217)/31)+K223</f>
        <v>79.419354838709722</v>
      </c>
      <c r="L224" s="30">
        <f>((L248-L217)/31)+L223</f>
        <v>67.419354838709722</v>
      </c>
      <c r="M224" s="90">
        <v>69.567741935483824</v>
      </c>
      <c r="N224" s="89">
        <f t="shared" si="45"/>
        <v>13.709677419354835</v>
      </c>
      <c r="O224" s="106">
        <f t="shared" si="46"/>
        <v>33</v>
      </c>
      <c r="P224" s="108">
        <v>49.767741935483876</v>
      </c>
      <c r="Q224" s="108">
        <v>9</v>
      </c>
      <c r="R224" s="107">
        <v>28.548387096774182</v>
      </c>
      <c r="S224" s="41" t="s">
        <v>434</v>
      </c>
      <c r="T224" s="41" t="s">
        <v>433</v>
      </c>
      <c r="U224" s="33"/>
      <c r="V224" s="43"/>
      <c r="W224" s="47"/>
      <c r="X224" s="47"/>
      <c r="AC224" s="88"/>
    </row>
    <row r="225" spans="1:29" ht="15.95" customHeight="1" x14ac:dyDescent="0.25">
      <c r="A225" s="29" t="s">
        <v>262</v>
      </c>
      <c r="B225" s="31">
        <v>0.20277777777777781</v>
      </c>
      <c r="C225" s="31">
        <v>0.79583333333333339</v>
      </c>
      <c r="D225" s="31">
        <v>0.12291666666666667</v>
      </c>
      <c r="E225" s="31">
        <v>0.875</v>
      </c>
      <c r="F225" s="31">
        <v>0.15347222222222223</v>
      </c>
      <c r="G225" s="31">
        <v>0.84513888888888899</v>
      </c>
      <c r="H225" s="31">
        <v>0.18055555555555555</v>
      </c>
      <c r="I225" s="31">
        <v>0.81736111111111109</v>
      </c>
      <c r="J225" s="31">
        <v>0.4993055555555555</v>
      </c>
      <c r="K225" s="30">
        <f>((K248-K217)/31)+K224</f>
        <v>79.193548387096826</v>
      </c>
      <c r="L225" s="30">
        <f>((L248-L217)/31)+L224</f>
        <v>67.193548387096826</v>
      </c>
      <c r="M225" s="90">
        <v>69.277419354838656</v>
      </c>
      <c r="N225" s="89">
        <f t="shared" si="45"/>
        <v>13.696774193548382</v>
      </c>
      <c r="O225" s="106">
        <f t="shared" si="46"/>
        <v>33</v>
      </c>
      <c r="P225" s="108">
        <v>49.477419354838716</v>
      </c>
      <c r="Q225" s="108">
        <v>9</v>
      </c>
      <c r="R225" s="107">
        <v>28.483870967741922</v>
      </c>
      <c r="S225" s="41" t="s">
        <v>434</v>
      </c>
      <c r="T225" s="41" t="s">
        <v>433</v>
      </c>
      <c r="U225" s="33"/>
      <c r="V225" s="43"/>
      <c r="W225" s="47"/>
      <c r="X225" s="47"/>
      <c r="AC225" s="88"/>
    </row>
    <row r="226" spans="1:29" ht="15.95" customHeight="1" x14ac:dyDescent="0.25">
      <c r="A226" s="29" t="s">
        <v>263</v>
      </c>
      <c r="B226" s="31">
        <v>0.20347222222222219</v>
      </c>
      <c r="C226" s="31">
        <v>0.7944444444444444</v>
      </c>
      <c r="D226" s="31">
        <v>0.12430555555555556</v>
      </c>
      <c r="E226" s="31">
        <v>0.87361111111111101</v>
      </c>
      <c r="F226" s="31">
        <v>0.15416666666666667</v>
      </c>
      <c r="G226" s="31">
        <v>0.84375</v>
      </c>
      <c r="H226" s="31">
        <v>0.18124999999999999</v>
      </c>
      <c r="I226" s="31">
        <v>0.81666666666666676</v>
      </c>
      <c r="J226" s="31">
        <v>0.4993055555555555</v>
      </c>
      <c r="K226" s="30">
        <f>((K248-K217)/31)+K225</f>
        <v>78.967741935483929</v>
      </c>
      <c r="L226" s="30">
        <f>((L248-L217)/31)+L225</f>
        <v>66.967741935483929</v>
      </c>
      <c r="M226" s="90">
        <v>68.987096774193489</v>
      </c>
      <c r="N226" s="89">
        <f t="shared" si="45"/>
        <v>13.68387096774193</v>
      </c>
      <c r="O226" s="106">
        <f t="shared" si="46"/>
        <v>33</v>
      </c>
      <c r="P226" s="108">
        <v>49.187096774193556</v>
      </c>
      <c r="Q226" s="108">
        <v>9</v>
      </c>
      <c r="R226" s="107">
        <v>28.419354838709662</v>
      </c>
      <c r="S226" s="41" t="s">
        <v>434</v>
      </c>
      <c r="T226" s="41" t="s">
        <v>433</v>
      </c>
      <c r="U226" s="33"/>
      <c r="V226" s="43"/>
      <c r="W226" s="47"/>
      <c r="X226" s="47"/>
      <c r="AC226" s="88"/>
    </row>
    <row r="227" spans="1:29" ht="15.95" customHeight="1" x14ac:dyDescent="0.25">
      <c r="A227" s="29" t="s">
        <v>264</v>
      </c>
      <c r="B227" s="31">
        <v>0.20416666666666669</v>
      </c>
      <c r="C227" s="31">
        <v>0.79375000000000007</v>
      </c>
      <c r="D227" s="31">
        <v>0.125</v>
      </c>
      <c r="E227" s="31">
        <v>0.87222222222222223</v>
      </c>
      <c r="F227" s="31">
        <v>0.15486111111111112</v>
      </c>
      <c r="G227" s="31">
        <v>0.84236111111111101</v>
      </c>
      <c r="H227" s="31">
        <v>0.18194444444444444</v>
      </c>
      <c r="I227" s="31">
        <v>0.81527777777777777</v>
      </c>
      <c r="J227" s="31">
        <v>0.4993055555555555</v>
      </c>
      <c r="K227" s="30">
        <f>((K248-K217)/31)+K226</f>
        <v>78.741935483871032</v>
      </c>
      <c r="L227" s="30">
        <f>((L248-L217)/31)+L226</f>
        <v>66.741935483871032</v>
      </c>
      <c r="M227" s="90">
        <v>68.696774193548322</v>
      </c>
      <c r="N227" s="89">
        <f t="shared" si="45"/>
        <v>13.670967741935478</v>
      </c>
      <c r="O227" s="106">
        <f t="shared" si="46"/>
        <v>33</v>
      </c>
      <c r="P227" s="108">
        <v>48.896774193548396</v>
      </c>
      <c r="Q227" s="108">
        <v>9</v>
      </c>
      <c r="R227" s="107">
        <v>28.354838709677402</v>
      </c>
      <c r="S227" s="41" t="s">
        <v>434</v>
      </c>
      <c r="T227" s="41" t="s">
        <v>433</v>
      </c>
      <c r="U227" s="33"/>
      <c r="V227" s="43"/>
      <c r="W227" s="47"/>
      <c r="X227" s="47"/>
      <c r="AC227" s="88"/>
    </row>
    <row r="228" spans="1:29" ht="15.95" customHeight="1" x14ac:dyDescent="0.25">
      <c r="A228" s="29" t="s">
        <v>265</v>
      </c>
      <c r="B228" s="31">
        <v>0.20486111111111113</v>
      </c>
      <c r="C228" s="31">
        <v>0.79236111111111107</v>
      </c>
      <c r="D228" s="31">
        <v>0.12638888888888888</v>
      </c>
      <c r="E228" s="31">
        <v>0.87083333333333324</v>
      </c>
      <c r="F228" s="31">
        <v>0.15625</v>
      </c>
      <c r="G228" s="31">
        <v>0.84097222222222223</v>
      </c>
      <c r="H228" s="31">
        <v>0.18333333333333335</v>
      </c>
      <c r="I228" s="31">
        <v>0.81458333333333333</v>
      </c>
      <c r="J228" s="31">
        <v>0.4993055555555555</v>
      </c>
      <c r="K228" s="30">
        <f>((K248-K217)/31)+K227</f>
        <v>78.516129032258135</v>
      </c>
      <c r="L228" s="30">
        <f>((L248-L217)/31)+L227</f>
        <v>66.516129032258135</v>
      </c>
      <c r="M228" s="90">
        <v>68.406451612903155</v>
      </c>
      <c r="N228" s="89">
        <f t="shared" si="45"/>
        <v>13.658064516129025</v>
      </c>
      <c r="O228" s="106">
        <f t="shared" si="46"/>
        <v>33</v>
      </c>
      <c r="P228" s="108">
        <v>48.606451612903236</v>
      </c>
      <c r="Q228" s="108">
        <v>9</v>
      </c>
      <c r="R228" s="107">
        <v>28.290322580645142</v>
      </c>
      <c r="S228" s="41" t="s">
        <v>434</v>
      </c>
      <c r="T228" s="41" t="s">
        <v>433</v>
      </c>
      <c r="U228" s="33"/>
      <c r="V228" s="43"/>
      <c r="W228" s="47"/>
      <c r="X228" s="47"/>
      <c r="AC228" s="88"/>
    </row>
    <row r="229" spans="1:29" ht="15.95" customHeight="1" x14ac:dyDescent="0.25">
      <c r="A229" s="29" t="s">
        <v>266</v>
      </c>
      <c r="B229" s="31">
        <v>0.20555555555555557</v>
      </c>
      <c r="C229" s="31">
        <v>0.79166666666666663</v>
      </c>
      <c r="D229" s="31">
        <v>0.1277777777777778</v>
      </c>
      <c r="E229" s="31">
        <v>0.86944444444444446</v>
      </c>
      <c r="F229" s="31">
        <v>0.15694444444444444</v>
      </c>
      <c r="G229" s="31">
        <v>0.84027777777777779</v>
      </c>
      <c r="H229" s="31">
        <v>0.18402777777777779</v>
      </c>
      <c r="I229" s="31">
        <v>0.81319444444444444</v>
      </c>
      <c r="J229" s="31">
        <v>0.49861111111111112</v>
      </c>
      <c r="K229" s="30">
        <f>((K248-K217)/31)+K228</f>
        <v>78.290322580645238</v>
      </c>
      <c r="L229" s="30">
        <f>((L248-L217)/31)+L228</f>
        <v>66.290322580645238</v>
      </c>
      <c r="M229" s="90">
        <v>68.116129032257987</v>
      </c>
      <c r="N229" s="89">
        <f t="shared" si="45"/>
        <v>13.645161290322573</v>
      </c>
      <c r="O229" s="106">
        <f t="shared" si="46"/>
        <v>33</v>
      </c>
      <c r="P229" s="108">
        <v>48.316129032258075</v>
      </c>
      <c r="Q229" s="108">
        <v>9</v>
      </c>
      <c r="R229" s="107">
        <v>28.225806451612883</v>
      </c>
      <c r="S229" s="41" t="s">
        <v>434</v>
      </c>
      <c r="T229" s="41" t="s">
        <v>433</v>
      </c>
      <c r="U229" s="33"/>
      <c r="V229" s="43"/>
      <c r="W229" s="47"/>
      <c r="X229" s="47"/>
      <c r="AC229" s="88"/>
    </row>
    <row r="230" spans="1:29" ht="15.95" customHeight="1" x14ac:dyDescent="0.25">
      <c r="A230" s="29" t="s">
        <v>267</v>
      </c>
      <c r="B230" s="31">
        <v>0.20625000000000002</v>
      </c>
      <c r="C230" s="31">
        <v>0.79027777777777775</v>
      </c>
      <c r="D230" s="31">
        <v>0.12916666666666668</v>
      </c>
      <c r="E230" s="31">
        <v>0.86736111111111114</v>
      </c>
      <c r="F230" s="31">
        <v>0.15833333333333333</v>
      </c>
      <c r="G230" s="31">
        <v>0.83888888888888891</v>
      </c>
      <c r="H230" s="31">
        <v>0.18472222222222223</v>
      </c>
      <c r="I230" s="31">
        <v>0.8125</v>
      </c>
      <c r="J230" s="31">
        <v>0.49861111111111112</v>
      </c>
      <c r="K230" s="30">
        <f>((K248-K217)/31)+K229</f>
        <v>78.064516129032341</v>
      </c>
      <c r="L230" s="30">
        <f>((L248-L217)/31)+L229</f>
        <v>66.064516129032341</v>
      </c>
      <c r="M230" s="90">
        <v>67.82580645161282</v>
      </c>
      <c r="N230" s="89">
        <f t="shared" si="45"/>
        <v>13.632258064516121</v>
      </c>
      <c r="O230" s="106">
        <f t="shared" si="46"/>
        <v>33</v>
      </c>
      <c r="P230" s="108">
        <v>48.025806451612915</v>
      </c>
      <c r="Q230" s="108">
        <v>9</v>
      </c>
      <c r="R230" s="107">
        <v>28.161290322580623</v>
      </c>
      <c r="S230" s="41" t="s">
        <v>434</v>
      </c>
      <c r="T230" s="41" t="s">
        <v>433</v>
      </c>
      <c r="U230" s="33"/>
      <c r="V230" s="43"/>
      <c r="W230" s="47"/>
      <c r="X230" s="47"/>
      <c r="AC230" s="88"/>
    </row>
    <row r="231" spans="1:29" ht="15.95" customHeight="1" x14ac:dyDescent="0.25">
      <c r="A231" s="29" t="s">
        <v>268</v>
      </c>
      <c r="B231" s="31">
        <v>0.20694444444444446</v>
      </c>
      <c r="C231" s="31">
        <v>0.7895833333333333</v>
      </c>
      <c r="D231" s="31">
        <v>0.12986111111111112</v>
      </c>
      <c r="E231" s="31">
        <v>0.86597222222222225</v>
      </c>
      <c r="F231" s="31">
        <v>0.15902777777777777</v>
      </c>
      <c r="G231" s="31">
        <v>0.83750000000000002</v>
      </c>
      <c r="H231" s="31">
        <v>0.18541666666666667</v>
      </c>
      <c r="I231" s="31">
        <v>0.81111111111111101</v>
      </c>
      <c r="J231" s="31">
        <v>0.49861111111111112</v>
      </c>
      <c r="K231" s="30">
        <f>((K248-K217)/31)+K230</f>
        <v>77.838709677419445</v>
      </c>
      <c r="L231" s="30">
        <f>((L248-L217)/31)+L230</f>
        <v>65.838709677419445</v>
      </c>
      <c r="M231" s="90">
        <v>67.535483870967653</v>
      </c>
      <c r="N231" s="89">
        <f t="shared" si="45"/>
        <v>13.619354838709668</v>
      </c>
      <c r="O231" s="106">
        <f t="shared" si="46"/>
        <v>33</v>
      </c>
      <c r="P231" s="108">
        <v>47.735483870967755</v>
      </c>
      <c r="Q231" s="108">
        <v>9</v>
      </c>
      <c r="R231" s="107">
        <v>28.096774193548363</v>
      </c>
      <c r="S231" s="41" t="s">
        <v>434</v>
      </c>
      <c r="T231" s="41" t="s">
        <v>433</v>
      </c>
      <c r="U231" s="33"/>
      <c r="V231" s="43"/>
      <c r="W231" s="47"/>
      <c r="X231" s="47"/>
      <c r="AC231" s="88"/>
    </row>
    <row r="232" spans="1:29" ht="15.95" customHeight="1" x14ac:dyDescent="0.25">
      <c r="A232" s="29" t="s">
        <v>269</v>
      </c>
      <c r="B232" s="31">
        <v>0.20833333333333334</v>
      </c>
      <c r="C232" s="31">
        <v>0.78819444444444453</v>
      </c>
      <c r="D232" s="31">
        <v>0.13125000000000001</v>
      </c>
      <c r="E232" s="31">
        <v>0.86458333333333337</v>
      </c>
      <c r="F232" s="31">
        <v>0.16041666666666668</v>
      </c>
      <c r="G232" s="31">
        <v>0.83611111111111114</v>
      </c>
      <c r="H232" s="31">
        <v>0.18680555555555556</v>
      </c>
      <c r="I232" s="31">
        <v>0.80972222222222223</v>
      </c>
      <c r="J232" s="31">
        <v>0.49861111111111112</v>
      </c>
      <c r="K232" s="30">
        <f>((K248-K217)/31)+K231</f>
        <v>77.612903225806548</v>
      </c>
      <c r="L232" s="30">
        <f>((L248-L217)/31)+L231</f>
        <v>65.612903225806548</v>
      </c>
      <c r="M232" s="90">
        <v>67.245161290322486</v>
      </c>
      <c r="N232" s="89">
        <f t="shared" si="45"/>
        <v>13.606451612903216</v>
      </c>
      <c r="O232" s="106">
        <f t="shared" si="46"/>
        <v>33</v>
      </c>
      <c r="P232" s="108">
        <v>47.445161290322595</v>
      </c>
      <c r="Q232" s="108">
        <v>9</v>
      </c>
      <c r="R232" s="107">
        <v>28.032258064516103</v>
      </c>
      <c r="S232" s="41" t="s">
        <v>434</v>
      </c>
      <c r="T232" s="41" t="s">
        <v>433</v>
      </c>
      <c r="U232" s="33"/>
      <c r="V232" s="43"/>
      <c r="W232" s="47"/>
      <c r="X232" s="47"/>
      <c r="AC232" s="88"/>
    </row>
    <row r="233" spans="1:29" ht="15.95" customHeight="1" x14ac:dyDescent="0.25">
      <c r="A233" s="29" t="s">
        <v>270</v>
      </c>
      <c r="B233" s="31">
        <v>0.20902777777777778</v>
      </c>
      <c r="C233" s="31">
        <v>0.78749999999999998</v>
      </c>
      <c r="D233" s="31">
        <v>0.13263888888888889</v>
      </c>
      <c r="E233" s="31">
        <v>0.86319444444444438</v>
      </c>
      <c r="F233" s="31">
        <v>0.16111111111111112</v>
      </c>
      <c r="G233" s="31">
        <v>0.83472222222222225</v>
      </c>
      <c r="H233" s="31">
        <v>0.1875</v>
      </c>
      <c r="I233" s="31">
        <v>0.80902777777777779</v>
      </c>
      <c r="J233" s="31">
        <v>0.49861111111111112</v>
      </c>
      <c r="K233" s="30">
        <f>((K248-K217)/31)+K232</f>
        <v>77.387096774193651</v>
      </c>
      <c r="L233" s="30">
        <f>((L248-L217)/31)+L232</f>
        <v>65.387096774193651</v>
      </c>
      <c r="M233" s="90">
        <v>66.954838709677318</v>
      </c>
      <c r="N233" s="89">
        <f t="shared" si="45"/>
        <v>13.593548387096764</v>
      </c>
      <c r="O233" s="106">
        <f t="shared" si="46"/>
        <v>33</v>
      </c>
      <c r="P233" s="108">
        <v>47.154838709677435</v>
      </c>
      <c r="Q233" s="108">
        <v>9</v>
      </c>
      <c r="R233" s="107">
        <v>27.967741935483843</v>
      </c>
      <c r="S233" s="41" t="s">
        <v>434</v>
      </c>
      <c r="T233" s="41" t="s">
        <v>433</v>
      </c>
      <c r="U233" s="33"/>
      <c r="V233" s="43"/>
      <c r="W233" s="47"/>
      <c r="X233" s="47"/>
      <c r="AC233" s="88"/>
    </row>
    <row r="234" spans="1:29" ht="15.95" customHeight="1" x14ac:dyDescent="0.25">
      <c r="A234" s="29" t="s">
        <v>271</v>
      </c>
      <c r="B234" s="31">
        <v>0.20972222222222223</v>
      </c>
      <c r="C234" s="31">
        <v>0.78611111111111109</v>
      </c>
      <c r="D234" s="31">
        <v>0.13402777777777777</v>
      </c>
      <c r="E234" s="31">
        <v>0.8618055555555556</v>
      </c>
      <c r="F234" s="31">
        <v>0.16180555555555556</v>
      </c>
      <c r="G234" s="31">
        <v>0.83333333333333337</v>
      </c>
      <c r="H234" s="31">
        <v>0.18819444444444444</v>
      </c>
      <c r="I234" s="31">
        <v>0.80763888888888891</v>
      </c>
      <c r="J234" s="31">
        <v>0.49791666666666662</v>
      </c>
      <c r="K234" s="30">
        <f>((K248-K217)/31)+K233</f>
        <v>77.161290322580754</v>
      </c>
      <c r="L234" s="30">
        <f>((L248-L217)/31)+L233</f>
        <v>65.161290322580754</v>
      </c>
      <c r="M234" s="90">
        <v>66.664516129032151</v>
      </c>
      <c r="N234" s="89">
        <f t="shared" si="45"/>
        <v>13.580645161290311</v>
      </c>
      <c r="O234" s="106">
        <f t="shared" si="46"/>
        <v>33</v>
      </c>
      <c r="P234" s="108">
        <v>46.864516129032275</v>
      </c>
      <c r="Q234" s="108">
        <v>9</v>
      </c>
      <c r="R234" s="107">
        <v>27.903225806451584</v>
      </c>
      <c r="S234" s="41" t="s">
        <v>434</v>
      </c>
      <c r="T234" s="41" t="s">
        <v>433</v>
      </c>
      <c r="U234" s="33"/>
      <c r="V234" s="43"/>
      <c r="W234" s="47"/>
      <c r="X234" s="47"/>
      <c r="AC234" s="88"/>
    </row>
    <row r="235" spans="1:29" ht="15.95" customHeight="1" x14ac:dyDescent="0.25">
      <c r="A235" s="29" t="s">
        <v>272</v>
      </c>
      <c r="B235" s="31">
        <v>0.21041666666666667</v>
      </c>
      <c r="C235" s="31">
        <v>0.78541666666666676</v>
      </c>
      <c r="D235" s="31">
        <v>0.13472222222222222</v>
      </c>
      <c r="E235" s="31">
        <v>0.86041666666666661</v>
      </c>
      <c r="F235" s="31">
        <v>0.16319444444444445</v>
      </c>
      <c r="G235" s="31">
        <v>0.83194444444444438</v>
      </c>
      <c r="H235" s="31">
        <v>0.18888888888888888</v>
      </c>
      <c r="I235" s="31">
        <v>0.80625000000000002</v>
      </c>
      <c r="J235" s="31">
        <v>0.49791666666666662</v>
      </c>
      <c r="K235" s="30">
        <f>((K248-K217)/31)+K234</f>
        <v>76.935483870967857</v>
      </c>
      <c r="L235" s="30">
        <f>((L248-L217)/31)+L234</f>
        <v>64.935483870967857</v>
      </c>
      <c r="M235" s="90">
        <v>66.374193548386984</v>
      </c>
      <c r="N235" s="89">
        <f t="shared" si="45"/>
        <v>13.567741935483859</v>
      </c>
      <c r="O235" s="106">
        <f t="shared" si="46"/>
        <v>33</v>
      </c>
      <c r="P235" s="108">
        <v>46.574193548387115</v>
      </c>
      <c r="Q235" s="108">
        <v>9</v>
      </c>
      <c r="R235" s="107">
        <v>27.838709677419324</v>
      </c>
      <c r="S235" s="41" t="s">
        <v>434</v>
      </c>
      <c r="T235" s="41" t="s">
        <v>433</v>
      </c>
      <c r="U235" s="33"/>
      <c r="V235" s="43"/>
      <c r="W235" s="47"/>
      <c r="X235" s="47"/>
      <c r="AC235" s="88"/>
    </row>
    <row r="236" spans="1:29" ht="15.95" customHeight="1" x14ac:dyDescent="0.25">
      <c r="A236" s="29" t="s">
        <v>273</v>
      </c>
      <c r="B236" s="31">
        <v>0.21111111111111111</v>
      </c>
      <c r="C236" s="31">
        <v>0.78402777777777777</v>
      </c>
      <c r="D236" s="31">
        <v>0.1361111111111111</v>
      </c>
      <c r="E236" s="31">
        <v>0.85902777777777783</v>
      </c>
      <c r="F236" s="31">
        <v>0.16388888888888889</v>
      </c>
      <c r="G236" s="31">
        <v>0.83124999999999993</v>
      </c>
      <c r="H236" s="31">
        <v>0.19027777777777777</v>
      </c>
      <c r="I236" s="31">
        <v>0.80555555555555547</v>
      </c>
      <c r="J236" s="31">
        <v>0.49791666666666662</v>
      </c>
      <c r="K236" s="30">
        <f>((K248-K217)/31)+K235</f>
        <v>76.709677419354961</v>
      </c>
      <c r="L236" s="30">
        <f>((L248-L217)/31)+L235</f>
        <v>64.709677419354961</v>
      </c>
      <c r="M236" s="90">
        <v>66.083870967741817</v>
      </c>
      <c r="N236" s="89">
        <f t="shared" si="45"/>
        <v>13.554838709677407</v>
      </c>
      <c r="O236" s="106">
        <f t="shared" si="46"/>
        <v>33</v>
      </c>
      <c r="P236" s="108">
        <v>46.283870967741954</v>
      </c>
      <c r="Q236" s="108">
        <v>9</v>
      </c>
      <c r="R236" s="107">
        <v>27.774193548387064</v>
      </c>
      <c r="S236" s="41" t="s">
        <v>434</v>
      </c>
      <c r="T236" s="41" t="s">
        <v>433</v>
      </c>
      <c r="U236" s="33"/>
      <c r="V236" s="43"/>
      <c r="W236" s="47"/>
      <c r="X236" s="47"/>
      <c r="AC236" s="88"/>
    </row>
    <row r="237" spans="1:29" ht="15.95" customHeight="1" x14ac:dyDescent="0.25">
      <c r="A237" s="29" t="s">
        <v>274</v>
      </c>
      <c r="B237" s="31">
        <v>0.21180555555555555</v>
      </c>
      <c r="C237" s="31">
        <v>0.78263888888888899</v>
      </c>
      <c r="D237" s="31">
        <v>0.13749999999999998</v>
      </c>
      <c r="E237" s="31">
        <v>0.8569444444444444</v>
      </c>
      <c r="F237" s="31">
        <v>0.16527777777777777</v>
      </c>
      <c r="G237" s="31">
        <v>0.82986111111111116</v>
      </c>
      <c r="H237" s="31">
        <v>0.19097222222222221</v>
      </c>
      <c r="I237" s="31">
        <v>0.8041666666666667</v>
      </c>
      <c r="J237" s="31">
        <v>0.49791666666666662</v>
      </c>
      <c r="K237" s="30">
        <f>((K248-K217)/31)+K236</f>
        <v>76.483870967742064</v>
      </c>
      <c r="L237" s="30">
        <f>((L248-L217)/31)+L236</f>
        <v>64.483870967742064</v>
      </c>
      <c r="M237" s="90">
        <v>65.793548387096649</v>
      </c>
      <c r="N237" s="89">
        <f t="shared" si="45"/>
        <v>13.541935483870954</v>
      </c>
      <c r="O237" s="106">
        <f t="shared" si="46"/>
        <v>33</v>
      </c>
      <c r="P237" s="108">
        <v>45.993548387096794</v>
      </c>
      <c r="Q237" s="108">
        <v>9</v>
      </c>
      <c r="R237" s="107">
        <v>27.709677419354804</v>
      </c>
      <c r="S237" s="41" t="s">
        <v>434</v>
      </c>
      <c r="T237" s="41" t="s">
        <v>433</v>
      </c>
      <c r="U237" s="33"/>
      <c r="V237" s="43"/>
      <c r="W237" s="47"/>
      <c r="X237" s="47"/>
      <c r="AC237" s="88"/>
    </row>
    <row r="238" spans="1:29" ht="15.95" customHeight="1" x14ac:dyDescent="0.25">
      <c r="A238" s="29" t="s">
        <v>275</v>
      </c>
      <c r="B238" s="31">
        <v>0.21249999999999999</v>
      </c>
      <c r="C238" s="31">
        <v>0.78194444444444444</v>
      </c>
      <c r="D238" s="31">
        <v>0.13819444444444443</v>
      </c>
      <c r="E238" s="31">
        <v>0.85555555555555562</v>
      </c>
      <c r="F238" s="31">
        <v>0.16597222222222222</v>
      </c>
      <c r="G238" s="31">
        <v>0.82847222222222217</v>
      </c>
      <c r="H238" s="31">
        <v>0.19166666666666665</v>
      </c>
      <c r="I238" s="31">
        <v>0.8027777777777777</v>
      </c>
      <c r="J238" s="31">
        <v>0.49722222222222223</v>
      </c>
      <c r="K238" s="30">
        <f>((K248-K217)/31)+K237</f>
        <v>76.258064516129167</v>
      </c>
      <c r="L238" s="30">
        <f>((L248-L217)/31)+L237</f>
        <v>64.258064516129167</v>
      </c>
      <c r="M238" s="90">
        <v>65.503225806451482</v>
      </c>
      <c r="N238" s="89">
        <f t="shared" si="45"/>
        <v>13.529032258064502</v>
      </c>
      <c r="O238" s="106">
        <f t="shared" si="46"/>
        <v>33</v>
      </c>
      <c r="P238" s="108">
        <v>45.703225806451634</v>
      </c>
      <c r="Q238" s="108">
        <v>9</v>
      </c>
      <c r="R238" s="107">
        <v>27.645161290322545</v>
      </c>
      <c r="S238" s="41" t="s">
        <v>434</v>
      </c>
      <c r="T238" s="41" t="s">
        <v>433</v>
      </c>
      <c r="U238" s="33"/>
      <c r="V238" s="43"/>
      <c r="W238" s="47"/>
      <c r="X238" s="47"/>
      <c r="AC238" s="88"/>
    </row>
    <row r="239" spans="1:29" ht="15.95" customHeight="1" x14ac:dyDescent="0.25">
      <c r="A239" s="29" t="s">
        <v>276</v>
      </c>
      <c r="B239" s="31">
        <v>0.21388888888888891</v>
      </c>
      <c r="C239" s="31">
        <v>0.78055555555555556</v>
      </c>
      <c r="D239" s="31">
        <v>0.13958333333333334</v>
      </c>
      <c r="E239" s="31">
        <v>0.85416666666666663</v>
      </c>
      <c r="F239" s="31">
        <v>0.16666666666666666</v>
      </c>
      <c r="G239" s="31">
        <v>0.82708333333333339</v>
      </c>
      <c r="H239" s="31">
        <v>0.19236111111111112</v>
      </c>
      <c r="I239" s="31">
        <v>0.80138888888888893</v>
      </c>
      <c r="J239" s="31">
        <v>0.49722222222222223</v>
      </c>
      <c r="K239" s="30">
        <f>((K248-K217)/31)+K238</f>
        <v>76.03225806451627</v>
      </c>
      <c r="L239" s="30">
        <f>((L248-L217)/31)+L238</f>
        <v>64.03225806451627</v>
      </c>
      <c r="M239" s="90">
        <v>65.212903225806315</v>
      </c>
      <c r="N239" s="89">
        <f t="shared" si="45"/>
        <v>13.51612903225805</v>
      </c>
      <c r="O239" s="106">
        <f t="shared" si="46"/>
        <v>33</v>
      </c>
      <c r="P239" s="108">
        <v>45.412903225806474</v>
      </c>
      <c r="Q239" s="108">
        <v>9</v>
      </c>
      <c r="R239" s="107">
        <v>27.580645161290285</v>
      </c>
      <c r="S239" s="41" t="s">
        <v>434</v>
      </c>
      <c r="T239" s="41" t="s">
        <v>433</v>
      </c>
      <c r="U239" s="33"/>
      <c r="V239" s="43"/>
      <c r="W239" s="47"/>
      <c r="X239" s="47"/>
      <c r="AC239" s="88"/>
    </row>
    <row r="240" spans="1:29" ht="15.95" customHeight="1" x14ac:dyDescent="0.25">
      <c r="A240" s="29" t="s">
        <v>277</v>
      </c>
      <c r="B240" s="31">
        <v>0.21458333333333335</v>
      </c>
      <c r="C240" s="31">
        <v>0.77916666666666667</v>
      </c>
      <c r="D240" s="31">
        <v>0.14097222222222222</v>
      </c>
      <c r="E240" s="31">
        <v>0.85277777777777775</v>
      </c>
      <c r="F240" s="31">
        <v>0.16805555555555554</v>
      </c>
      <c r="G240" s="31">
        <v>0.8256944444444444</v>
      </c>
      <c r="H240" s="31">
        <v>0.19305555555555554</v>
      </c>
      <c r="I240" s="31">
        <v>0.80069444444444438</v>
      </c>
      <c r="J240" s="31">
        <v>0.49722222222222223</v>
      </c>
      <c r="K240" s="30">
        <f>((K248-K217)/31)+K239</f>
        <v>75.806451612903373</v>
      </c>
      <c r="L240" s="30">
        <f>((L248-L217)/31)+L239</f>
        <v>63.806451612903366</v>
      </c>
      <c r="M240" s="90">
        <v>64.922580645161148</v>
      </c>
      <c r="N240" s="89">
        <f t="shared" si="45"/>
        <v>13.503225806451598</v>
      </c>
      <c r="O240" s="106">
        <f t="shared" si="46"/>
        <v>33</v>
      </c>
      <c r="P240" s="108">
        <v>45.122580645161314</v>
      </c>
      <c r="Q240" s="108">
        <v>9</v>
      </c>
      <c r="R240" s="107">
        <v>27.516129032258025</v>
      </c>
      <c r="S240" s="41" t="s">
        <v>434</v>
      </c>
      <c r="T240" s="41" t="s">
        <v>433</v>
      </c>
      <c r="U240" s="33"/>
      <c r="V240" s="43"/>
      <c r="W240" s="47"/>
      <c r="X240" s="47"/>
      <c r="AC240" s="88"/>
    </row>
    <row r="241" spans="1:29" ht="15.95" customHeight="1" x14ac:dyDescent="0.25">
      <c r="A241" s="29" t="s">
        <v>278</v>
      </c>
      <c r="B241" s="31">
        <v>0.21527777777777779</v>
      </c>
      <c r="C241" s="31">
        <v>0.77847222222222223</v>
      </c>
      <c r="D241" s="31">
        <v>0.14166666666666666</v>
      </c>
      <c r="E241" s="31">
        <v>0.85138888888888886</v>
      </c>
      <c r="F241" s="31">
        <v>0.16874999999999998</v>
      </c>
      <c r="G241" s="31">
        <v>0.82430555555555562</v>
      </c>
      <c r="H241" s="31">
        <v>0.19444444444444445</v>
      </c>
      <c r="I241" s="31">
        <v>0.7993055555555556</v>
      </c>
      <c r="J241" s="31">
        <v>0.49722222222222223</v>
      </c>
      <c r="K241" s="30">
        <f>((K248-K217)/31)+K240</f>
        <v>75.580645161290477</v>
      </c>
      <c r="L241" s="30">
        <f>((L248-L217)/31)+L240</f>
        <v>63.580645161290462</v>
      </c>
      <c r="M241" s="90">
        <v>64.63225806451598</v>
      </c>
      <c r="N241" s="89">
        <f t="shared" si="45"/>
        <v>13.490322580645145</v>
      </c>
      <c r="O241" s="106">
        <f t="shared" si="46"/>
        <v>33</v>
      </c>
      <c r="P241" s="108">
        <v>44.832258064516154</v>
      </c>
      <c r="Q241" s="108">
        <v>9</v>
      </c>
      <c r="R241" s="107">
        <v>27.451612903225765</v>
      </c>
      <c r="S241" s="41" t="s">
        <v>434</v>
      </c>
      <c r="T241" s="41" t="s">
        <v>433</v>
      </c>
      <c r="U241" s="33"/>
      <c r="V241" s="43"/>
      <c r="W241" s="47"/>
      <c r="X241" s="47"/>
      <c r="AC241" s="88"/>
    </row>
    <row r="242" spans="1:29" ht="15.95" customHeight="1" x14ac:dyDescent="0.25">
      <c r="A242" s="29" t="s">
        <v>279</v>
      </c>
      <c r="B242" s="31">
        <v>0.21597222222222223</v>
      </c>
      <c r="C242" s="31">
        <v>0.77708333333333324</v>
      </c>
      <c r="D242" s="31">
        <v>0.14305555555555557</v>
      </c>
      <c r="E242" s="31">
        <v>0.85</v>
      </c>
      <c r="F242" s="31">
        <v>0.17013888888888887</v>
      </c>
      <c r="G242" s="31">
        <v>0.82291666666666663</v>
      </c>
      <c r="H242" s="31">
        <v>0.19513888888888889</v>
      </c>
      <c r="I242" s="31">
        <v>0.79791666666666661</v>
      </c>
      <c r="J242" s="31">
        <v>0.49652777777777773</v>
      </c>
      <c r="K242" s="30">
        <f>((K248-K217)/31)+K241</f>
        <v>75.35483870967758</v>
      </c>
      <c r="L242" s="30">
        <f>((L248-L217)/31)+L241</f>
        <v>63.354838709677558</v>
      </c>
      <c r="M242" s="90">
        <v>64.341935483870813</v>
      </c>
      <c r="N242" s="89">
        <f t="shared" si="45"/>
        <v>13.477419354838693</v>
      </c>
      <c r="O242" s="106">
        <f t="shared" si="46"/>
        <v>33</v>
      </c>
      <c r="P242" s="108">
        <v>44.541935483870994</v>
      </c>
      <c r="Q242" s="108">
        <v>9</v>
      </c>
      <c r="R242" s="107">
        <v>27.387096774193505</v>
      </c>
      <c r="S242" s="41" t="s">
        <v>434</v>
      </c>
      <c r="T242" s="41" t="s">
        <v>433</v>
      </c>
      <c r="U242" s="33"/>
      <c r="V242" s="43"/>
      <c r="W242" s="47"/>
      <c r="X242" s="47"/>
      <c r="AC242" s="88"/>
    </row>
    <row r="243" spans="1:29" ht="15.95" customHeight="1" x14ac:dyDescent="0.25">
      <c r="A243" s="29" t="s">
        <v>280</v>
      </c>
      <c r="B243" s="31">
        <v>0.21666666666666667</v>
      </c>
      <c r="C243" s="31">
        <v>0.77569444444444446</v>
      </c>
      <c r="D243" s="31">
        <v>0.14375000000000002</v>
      </c>
      <c r="E243" s="31">
        <v>0.84861111111111109</v>
      </c>
      <c r="F243" s="31">
        <v>0.17083333333333331</v>
      </c>
      <c r="G243" s="31">
        <v>0.82152777777777775</v>
      </c>
      <c r="H243" s="31">
        <v>0.19583333333333333</v>
      </c>
      <c r="I243" s="31">
        <v>0.79652777777777783</v>
      </c>
      <c r="J243" s="31">
        <v>0.49652777777777773</v>
      </c>
      <c r="K243" s="30">
        <f>((K248-K217)/31)+K242</f>
        <v>75.129032258064683</v>
      </c>
      <c r="L243" s="30">
        <f>((L248-L217)/31)+L242</f>
        <v>63.129032258064655</v>
      </c>
      <c r="M243" s="90">
        <v>64.051612903225646</v>
      </c>
      <c r="N243" s="89">
        <f t="shared" si="45"/>
        <v>13.464516129032241</v>
      </c>
      <c r="O243" s="106">
        <f t="shared" si="46"/>
        <v>33</v>
      </c>
      <c r="P243" s="108">
        <v>44.251612903225833</v>
      </c>
      <c r="Q243" s="108">
        <v>9</v>
      </c>
      <c r="R243" s="107">
        <v>27.322580645161246</v>
      </c>
      <c r="S243" s="41" t="s">
        <v>434</v>
      </c>
      <c r="T243" s="41" t="s">
        <v>433</v>
      </c>
      <c r="U243" s="33"/>
      <c r="V243" s="43"/>
      <c r="W243" s="47"/>
      <c r="X243" s="47"/>
      <c r="AC243" s="88"/>
    </row>
    <row r="244" spans="1:29" ht="15.95" customHeight="1" x14ac:dyDescent="0.25">
      <c r="A244" s="29" t="s">
        <v>281</v>
      </c>
      <c r="B244" s="31">
        <v>0.21736111111111112</v>
      </c>
      <c r="C244" s="31">
        <v>0.77500000000000002</v>
      </c>
      <c r="D244" s="31">
        <v>0.1451388888888889</v>
      </c>
      <c r="E244" s="31">
        <v>0.84652777777777777</v>
      </c>
      <c r="F244" s="31">
        <v>0.17152777777777775</v>
      </c>
      <c r="G244" s="31">
        <v>0.82013888888888886</v>
      </c>
      <c r="H244" s="31">
        <v>0.19652777777777777</v>
      </c>
      <c r="I244" s="31">
        <v>0.79513888888888884</v>
      </c>
      <c r="J244" s="31">
        <v>0.49652777777777773</v>
      </c>
      <c r="K244" s="30">
        <f>((K248-K217)/31)+K243</f>
        <v>74.903225806451786</v>
      </c>
      <c r="L244" s="30">
        <f>((L248-L217)/31)+L243</f>
        <v>62.903225806451751</v>
      </c>
      <c r="M244" s="90">
        <v>63.761290322580486</v>
      </c>
      <c r="N244" s="89">
        <f t="shared" si="45"/>
        <v>13.451612903225788</v>
      </c>
      <c r="O244" s="106">
        <f t="shared" si="46"/>
        <v>33</v>
      </c>
      <c r="P244" s="108">
        <v>43.961290322580673</v>
      </c>
      <c r="Q244" s="108">
        <v>9</v>
      </c>
      <c r="R244" s="107">
        <v>27.258064516128986</v>
      </c>
      <c r="S244" s="41" t="s">
        <v>434</v>
      </c>
      <c r="T244" s="41" t="s">
        <v>433</v>
      </c>
      <c r="U244" s="33"/>
      <c r="V244" s="43"/>
      <c r="W244" s="47"/>
      <c r="X244" s="47"/>
      <c r="AC244" s="88"/>
    </row>
    <row r="245" spans="1:29" ht="15.95" customHeight="1" x14ac:dyDescent="0.25">
      <c r="A245" s="29" t="s">
        <v>282</v>
      </c>
      <c r="B245" s="31">
        <v>0.21805555555555556</v>
      </c>
      <c r="C245" s="31">
        <v>0.77361111111111114</v>
      </c>
      <c r="D245" s="31">
        <v>0.14652777777777778</v>
      </c>
      <c r="E245" s="31">
        <v>0.84513888888888899</v>
      </c>
      <c r="F245" s="31">
        <v>0.17291666666666669</v>
      </c>
      <c r="G245" s="31">
        <v>0.81874999999999998</v>
      </c>
      <c r="H245" s="31">
        <v>0.19791666666666666</v>
      </c>
      <c r="I245" s="31">
        <v>0.7944444444444444</v>
      </c>
      <c r="J245" s="31">
        <v>0.49652777777777773</v>
      </c>
      <c r="K245" s="30">
        <f>((K248-K217)/31)+K244</f>
        <v>74.677419354838889</v>
      </c>
      <c r="L245" s="30">
        <f>((L248-L217)/31)+L244</f>
        <v>62.677419354838847</v>
      </c>
      <c r="M245" s="90">
        <v>63.470967741935326</v>
      </c>
      <c r="N245" s="89">
        <f t="shared" si="45"/>
        <v>13.438709677419336</v>
      </c>
      <c r="O245" s="106">
        <f t="shared" si="46"/>
        <v>33</v>
      </c>
      <c r="P245" s="108">
        <v>43.670967741935513</v>
      </c>
      <c r="Q245" s="108">
        <v>9</v>
      </c>
      <c r="R245" s="107">
        <v>27.193548387096726</v>
      </c>
      <c r="S245" s="41" t="s">
        <v>434</v>
      </c>
      <c r="T245" s="41" t="s">
        <v>433</v>
      </c>
      <c r="U245" s="33"/>
      <c r="V245" s="43"/>
      <c r="W245" s="47"/>
      <c r="X245" s="47"/>
      <c r="AC245" s="88"/>
    </row>
    <row r="246" spans="1:29" ht="15.95" customHeight="1" x14ac:dyDescent="0.25">
      <c r="A246" s="29" t="s">
        <v>283</v>
      </c>
      <c r="B246" s="31">
        <v>0.21944444444444444</v>
      </c>
      <c r="C246" s="31">
        <v>0.77222222222222225</v>
      </c>
      <c r="D246" s="31">
        <v>0.14722222222222223</v>
      </c>
      <c r="E246" s="31">
        <v>0.84375</v>
      </c>
      <c r="F246" s="31">
        <v>0.17361111111111113</v>
      </c>
      <c r="G246" s="31">
        <v>0.81736111111111109</v>
      </c>
      <c r="H246" s="31">
        <v>0.1986111111111111</v>
      </c>
      <c r="I246" s="31">
        <v>0.79305555555555562</v>
      </c>
      <c r="J246" s="31">
        <v>0.49583333333333335</v>
      </c>
      <c r="K246" s="30">
        <f>((K248-K217)/31)+K245</f>
        <v>74.451612903225993</v>
      </c>
      <c r="L246" s="30">
        <f>((L248-L217)/31)+L245</f>
        <v>62.451612903225943</v>
      </c>
      <c r="M246" s="90">
        <v>63.180645161290165</v>
      </c>
      <c r="N246" s="89">
        <f t="shared" si="45"/>
        <v>13.425806451612884</v>
      </c>
      <c r="O246" s="106">
        <f t="shared" si="46"/>
        <v>33</v>
      </c>
      <c r="P246" s="108">
        <v>43.380645161290353</v>
      </c>
      <c r="Q246" s="108">
        <v>9</v>
      </c>
      <c r="R246" s="107">
        <v>27.129032258064466</v>
      </c>
      <c r="S246" s="41" t="s">
        <v>434</v>
      </c>
      <c r="T246" s="41" t="s">
        <v>433</v>
      </c>
      <c r="U246" s="33"/>
      <c r="V246" s="43"/>
      <c r="W246" s="47"/>
      <c r="X246" s="47"/>
      <c r="AC246" s="88"/>
    </row>
    <row r="247" spans="1:29" ht="15.95" customHeight="1" x14ac:dyDescent="0.25">
      <c r="A247" s="29" t="s">
        <v>284</v>
      </c>
      <c r="B247" s="31">
        <v>0.22013888888888888</v>
      </c>
      <c r="C247" s="31">
        <v>0.77083333333333337</v>
      </c>
      <c r="D247" s="31">
        <v>0.14861111111111111</v>
      </c>
      <c r="E247" s="31">
        <v>0.84236111111111101</v>
      </c>
      <c r="F247" s="31">
        <v>0.17430555555555557</v>
      </c>
      <c r="G247" s="31">
        <v>0.81597222222222221</v>
      </c>
      <c r="H247" s="31">
        <v>0.19930555555555554</v>
      </c>
      <c r="I247" s="31">
        <v>0.79166666666666663</v>
      </c>
      <c r="J247" s="31">
        <v>0.49583333333333335</v>
      </c>
      <c r="K247" s="30">
        <f>((K248-K217)/31)+K246</f>
        <v>74.225806451613096</v>
      </c>
      <c r="L247" s="30">
        <f>((L248-L217)/31)+L246</f>
        <v>62.225806451613039</v>
      </c>
      <c r="M247" s="90">
        <v>62.890322580645005</v>
      </c>
      <c r="N247" s="89">
        <f t="shared" si="45"/>
        <v>13.412903225806431</v>
      </c>
      <c r="O247" s="106">
        <f t="shared" si="46"/>
        <v>33</v>
      </c>
      <c r="P247" s="108">
        <v>43.090322580645193</v>
      </c>
      <c r="Q247" s="108">
        <v>9</v>
      </c>
      <c r="R247" s="107">
        <v>27.064516129032206</v>
      </c>
      <c r="S247" s="41" t="s">
        <v>434</v>
      </c>
      <c r="T247" s="41" t="s">
        <v>433</v>
      </c>
      <c r="U247" s="33"/>
      <c r="V247" s="43"/>
      <c r="W247" s="47"/>
      <c r="X247" s="47"/>
      <c r="AC247" s="88"/>
    </row>
    <row r="248" spans="1:29" ht="15.95" customHeight="1" x14ac:dyDescent="0.25">
      <c r="A248" s="29" t="s">
        <v>285</v>
      </c>
      <c r="B248" s="31">
        <v>0.22083333333333333</v>
      </c>
      <c r="C248" s="31">
        <v>0.77013888888888893</v>
      </c>
      <c r="D248" s="31">
        <v>0.14930555555555555</v>
      </c>
      <c r="E248" s="31">
        <v>0.84097222222222223</v>
      </c>
      <c r="F248" s="31">
        <v>0.17569444444444446</v>
      </c>
      <c r="G248" s="31">
        <v>0.81458333333333333</v>
      </c>
      <c r="H248" s="31">
        <v>0.19999999999999998</v>
      </c>
      <c r="I248" s="31">
        <v>0.79027777777777775</v>
      </c>
      <c r="J248" s="31">
        <v>0.49583333333333335</v>
      </c>
      <c r="K248" s="30">
        <v>74</v>
      </c>
      <c r="L248" s="30">
        <v>62</v>
      </c>
      <c r="M248" s="90">
        <v>62.6</v>
      </c>
      <c r="N248" s="89">
        <v>13.4</v>
      </c>
      <c r="O248" s="106">
        <v>33</v>
      </c>
      <c r="P248" s="108">
        <v>42.8</v>
      </c>
      <c r="Q248" s="108">
        <v>9</v>
      </c>
      <c r="R248" s="107">
        <v>27</v>
      </c>
      <c r="S248" s="41" t="s">
        <v>433</v>
      </c>
      <c r="T248" s="41" t="s">
        <v>431</v>
      </c>
      <c r="U248" s="33"/>
      <c r="V248" s="43"/>
      <c r="W248" s="47"/>
      <c r="X248" s="47"/>
      <c r="AC248" s="30"/>
    </row>
    <row r="249" spans="1:29" ht="15.95" customHeight="1" x14ac:dyDescent="0.25">
      <c r="A249" s="29" t="s">
        <v>286</v>
      </c>
      <c r="B249" s="31">
        <v>0.22152777777777777</v>
      </c>
      <c r="C249" s="31">
        <v>0.76874999999999993</v>
      </c>
      <c r="D249" s="31">
        <v>0.15069444444444444</v>
      </c>
      <c r="E249" s="31">
        <v>0.83958333333333324</v>
      </c>
      <c r="F249" s="31">
        <v>0.1763888888888889</v>
      </c>
      <c r="G249" s="31">
        <v>0.81388888888888899</v>
      </c>
      <c r="H249" s="31">
        <v>0.20069444444444443</v>
      </c>
      <c r="I249" s="31">
        <v>0.78888888888888886</v>
      </c>
      <c r="J249" s="31">
        <v>0.49513888888888885</v>
      </c>
      <c r="K249" s="30">
        <f>((K278-K248)/30)+K248</f>
        <v>73.933333333333337</v>
      </c>
      <c r="L249" s="30">
        <f>((L278-L248)/30)+L248</f>
        <v>61.666666666666664</v>
      </c>
      <c r="M249" s="90">
        <v>62.120000000000005</v>
      </c>
      <c r="N249" s="89">
        <f>((($N$278-$N$248)/30)+N248)</f>
        <v>13.36</v>
      </c>
      <c r="O249" s="106">
        <f>(($O$278-$O$248)/30)+O248</f>
        <v>33.1</v>
      </c>
      <c r="P249" s="108">
        <v>42.44</v>
      </c>
      <c r="Q249" s="108">
        <v>9.0333333333333332</v>
      </c>
      <c r="R249" s="107">
        <v>26.966666666666665</v>
      </c>
      <c r="S249" s="41" t="s">
        <v>433</v>
      </c>
      <c r="T249" s="41" t="s">
        <v>431</v>
      </c>
      <c r="U249" s="33"/>
      <c r="V249" s="43"/>
      <c r="W249" s="47"/>
      <c r="X249" s="47"/>
      <c r="AC249" s="88"/>
    </row>
    <row r="250" spans="1:29" ht="15.95" customHeight="1" x14ac:dyDescent="0.25">
      <c r="A250" s="29" t="s">
        <v>287</v>
      </c>
      <c r="B250" s="31">
        <v>0.22222222222222221</v>
      </c>
      <c r="C250" s="31">
        <v>0.76736111111111116</v>
      </c>
      <c r="D250" s="31">
        <v>0.15138888888888888</v>
      </c>
      <c r="E250" s="31">
        <v>0.83750000000000002</v>
      </c>
      <c r="F250" s="31">
        <v>0.17708333333333334</v>
      </c>
      <c r="G250" s="31">
        <v>0.8125</v>
      </c>
      <c r="H250" s="31">
        <v>0.20208333333333331</v>
      </c>
      <c r="I250" s="31">
        <v>0.78749999999999998</v>
      </c>
      <c r="J250" s="31">
        <v>0.49513888888888885</v>
      </c>
      <c r="K250" s="30">
        <f>((K278-K248)/30)+K249</f>
        <v>73.866666666666674</v>
      </c>
      <c r="L250" s="30">
        <f>((L278-L248)/30)+L249</f>
        <v>61.333333333333329</v>
      </c>
      <c r="M250" s="90">
        <v>61.640000000000008</v>
      </c>
      <c r="N250" s="89">
        <f t="shared" ref="N250:N277" si="47">((($N$278-$N$248)/30)+N249)</f>
        <v>13.32</v>
      </c>
      <c r="O250" s="106">
        <f t="shared" ref="O250:O277" si="48">(($O$278-$O$248)/30)+O249</f>
        <v>33.200000000000003</v>
      </c>
      <c r="P250" s="108">
        <v>42.08</v>
      </c>
      <c r="Q250" s="108">
        <v>9.0666666666666664</v>
      </c>
      <c r="R250" s="107">
        <v>26.93333333333333</v>
      </c>
      <c r="S250" s="41" t="s">
        <v>433</v>
      </c>
      <c r="T250" s="41" t="s">
        <v>431</v>
      </c>
      <c r="U250" s="33"/>
      <c r="V250" s="43"/>
      <c r="W250" s="47"/>
      <c r="X250" s="47"/>
      <c r="AC250" s="88"/>
    </row>
    <row r="251" spans="1:29" ht="15.95" customHeight="1" x14ac:dyDescent="0.25">
      <c r="A251" s="29" t="s">
        <v>288</v>
      </c>
      <c r="B251" s="31">
        <v>0.22291666666666665</v>
      </c>
      <c r="C251" s="31">
        <v>0.76597222222222217</v>
      </c>
      <c r="D251" s="31">
        <v>0.15277777777777776</v>
      </c>
      <c r="E251" s="31">
        <v>0.83611111111111114</v>
      </c>
      <c r="F251" s="31">
        <v>0.17847222222222223</v>
      </c>
      <c r="G251" s="31">
        <v>0.81111111111111101</v>
      </c>
      <c r="H251" s="31">
        <v>0.20277777777777781</v>
      </c>
      <c r="I251" s="31">
        <v>0.78680555555555554</v>
      </c>
      <c r="J251" s="31">
        <v>0.49513888888888885</v>
      </c>
      <c r="K251" s="30">
        <f>((K278-K248)/30)+K250</f>
        <v>73.800000000000011</v>
      </c>
      <c r="L251" s="30">
        <f>((L278-L248)/30)+L250</f>
        <v>60.999999999999993</v>
      </c>
      <c r="M251" s="90">
        <v>61.160000000000011</v>
      </c>
      <c r="N251" s="89">
        <f t="shared" si="47"/>
        <v>13.280000000000001</v>
      </c>
      <c r="O251" s="106">
        <f t="shared" si="48"/>
        <v>33.300000000000004</v>
      </c>
      <c r="P251" s="108">
        <v>41.72</v>
      </c>
      <c r="Q251" s="108">
        <v>9.1</v>
      </c>
      <c r="R251" s="107">
        <v>26.899999999999995</v>
      </c>
      <c r="S251" s="41" t="s">
        <v>433</v>
      </c>
      <c r="T251" s="41" t="s">
        <v>431</v>
      </c>
      <c r="U251" s="33"/>
      <c r="V251" s="43"/>
      <c r="W251" s="47"/>
      <c r="X251" s="47"/>
      <c r="AC251" s="88"/>
    </row>
    <row r="252" spans="1:29" ht="15.95" customHeight="1" x14ac:dyDescent="0.25">
      <c r="A252" s="29" t="s">
        <v>289</v>
      </c>
      <c r="B252" s="31">
        <v>0.22361111111111109</v>
      </c>
      <c r="C252" s="31">
        <v>0.76458333333333339</v>
      </c>
      <c r="D252" s="31">
        <v>0.15347222222222223</v>
      </c>
      <c r="E252" s="31">
        <v>0.83472222222222225</v>
      </c>
      <c r="F252" s="31">
        <v>0.17916666666666667</v>
      </c>
      <c r="G252" s="31">
        <v>0.80972222222222223</v>
      </c>
      <c r="H252" s="31">
        <v>0.20347222222222219</v>
      </c>
      <c r="I252" s="31">
        <v>0.78541666666666676</v>
      </c>
      <c r="J252" s="31">
        <v>0.49444444444444446</v>
      </c>
      <c r="K252" s="30">
        <f>((K278-K248)/30)+K251</f>
        <v>73.733333333333348</v>
      </c>
      <c r="L252" s="30">
        <f>((L278-L248)/30)+L251</f>
        <v>60.666666666666657</v>
      </c>
      <c r="M252" s="90">
        <v>60.680000000000014</v>
      </c>
      <c r="N252" s="89">
        <f t="shared" si="47"/>
        <v>13.240000000000002</v>
      </c>
      <c r="O252" s="106">
        <f t="shared" si="48"/>
        <v>33.400000000000006</v>
      </c>
      <c r="P252" s="108">
        <v>41.36</v>
      </c>
      <c r="Q252" s="108">
        <v>9.1333333333333329</v>
      </c>
      <c r="R252" s="107">
        <v>26.86666666666666</v>
      </c>
      <c r="S252" s="41" t="s">
        <v>433</v>
      </c>
      <c r="T252" s="41" t="s">
        <v>431</v>
      </c>
      <c r="U252" s="33"/>
      <c r="V252" s="43"/>
      <c r="W252" s="47"/>
      <c r="X252" s="47"/>
      <c r="AC252" s="88"/>
    </row>
    <row r="253" spans="1:29" ht="15.95" customHeight="1" x14ac:dyDescent="0.25">
      <c r="A253" s="29" t="s">
        <v>290</v>
      </c>
      <c r="B253" s="31">
        <v>0.22430555555555556</v>
      </c>
      <c r="C253" s="31">
        <v>0.76388888888888884</v>
      </c>
      <c r="D253" s="31">
        <v>0.15486111111111112</v>
      </c>
      <c r="E253" s="31">
        <v>0.83333333333333337</v>
      </c>
      <c r="F253" s="31">
        <v>0.17986111111111111</v>
      </c>
      <c r="G253" s="31">
        <v>0.80833333333333324</v>
      </c>
      <c r="H253" s="31">
        <v>0.20416666666666669</v>
      </c>
      <c r="I253" s="31">
        <v>0.78402777777777777</v>
      </c>
      <c r="J253" s="31">
        <v>0.49444444444444446</v>
      </c>
      <c r="K253" s="30">
        <f>((K278-K248)/30)+K252</f>
        <v>73.666666666666686</v>
      </c>
      <c r="L253" s="30">
        <f>((L278-L248)/30)+L252</f>
        <v>60.333333333333321</v>
      </c>
      <c r="M253" s="90">
        <v>60.200000000000017</v>
      </c>
      <c r="N253" s="89">
        <f t="shared" si="47"/>
        <v>13.200000000000003</v>
      </c>
      <c r="O253" s="106">
        <f t="shared" si="48"/>
        <v>33.500000000000007</v>
      </c>
      <c r="P253" s="108">
        <v>41</v>
      </c>
      <c r="Q253" s="108">
        <v>9.1666666666666661</v>
      </c>
      <c r="R253" s="107">
        <v>26.833333333333325</v>
      </c>
      <c r="S253" s="41" t="s">
        <v>433</v>
      </c>
      <c r="T253" s="41" t="s">
        <v>431</v>
      </c>
      <c r="U253" s="33"/>
      <c r="V253" s="43"/>
      <c r="W253" s="47"/>
      <c r="X253" s="47"/>
      <c r="AC253" s="88"/>
    </row>
    <row r="254" spans="1:29" ht="15.95" customHeight="1" x14ac:dyDescent="0.25">
      <c r="A254" s="29" t="s">
        <v>291</v>
      </c>
      <c r="B254" s="31">
        <v>0.22569444444444445</v>
      </c>
      <c r="C254" s="31">
        <v>0.76250000000000007</v>
      </c>
      <c r="D254" s="31">
        <v>0.15555555555555556</v>
      </c>
      <c r="E254" s="31">
        <v>0.83194444444444438</v>
      </c>
      <c r="F254" s="31">
        <v>0.18055555555555555</v>
      </c>
      <c r="G254" s="31">
        <v>0.80694444444444446</v>
      </c>
      <c r="H254" s="31">
        <v>0.20486111111111113</v>
      </c>
      <c r="I254" s="31">
        <v>0.78263888888888899</v>
      </c>
      <c r="J254" s="31">
        <v>0.49444444444444446</v>
      </c>
      <c r="K254" s="30">
        <f>((K278-K248)/30)+K253</f>
        <v>73.600000000000023</v>
      </c>
      <c r="L254" s="30">
        <f>((L278-L248)/30)+L253</f>
        <v>59.999999999999986</v>
      </c>
      <c r="M254" s="90">
        <v>59.72000000000002</v>
      </c>
      <c r="N254" s="89">
        <f t="shared" si="47"/>
        <v>13.160000000000004</v>
      </c>
      <c r="O254" s="106">
        <f t="shared" si="48"/>
        <v>33.600000000000009</v>
      </c>
      <c r="P254" s="108">
        <v>40.64</v>
      </c>
      <c r="Q254" s="108">
        <v>9.1999999999999993</v>
      </c>
      <c r="R254" s="107">
        <v>26.79999999999999</v>
      </c>
      <c r="S254" s="41" t="s">
        <v>433</v>
      </c>
      <c r="T254" s="41" t="s">
        <v>431</v>
      </c>
      <c r="U254" s="33"/>
      <c r="V254" s="43"/>
      <c r="W254" s="47"/>
      <c r="X254" s="47"/>
      <c r="AC254" s="88"/>
    </row>
    <row r="255" spans="1:29" ht="15.95" customHeight="1" x14ac:dyDescent="0.25">
      <c r="A255" s="29" t="s">
        <v>292</v>
      </c>
      <c r="B255" s="31">
        <v>0.22638888888888889</v>
      </c>
      <c r="C255" s="31">
        <v>0.76111111111111107</v>
      </c>
      <c r="D255" s="31">
        <v>0.15694444444444444</v>
      </c>
      <c r="E255" s="31">
        <v>0.8305555555555556</v>
      </c>
      <c r="F255" s="31">
        <v>0.18194444444444444</v>
      </c>
      <c r="G255" s="31">
        <v>0.80555555555555547</v>
      </c>
      <c r="H255" s="31">
        <v>0.20555555555555557</v>
      </c>
      <c r="I255" s="31">
        <v>0.78125</v>
      </c>
      <c r="J255" s="31">
        <v>0.49374999999999997</v>
      </c>
      <c r="K255" s="30">
        <f>((K278-K248)/30)+K254</f>
        <v>73.53333333333336</v>
      </c>
      <c r="L255" s="30">
        <f>((L278-L248)/30)+L254</f>
        <v>59.66666666666665</v>
      </c>
      <c r="M255" s="90">
        <v>59.240000000000023</v>
      </c>
      <c r="N255" s="89">
        <f t="shared" si="47"/>
        <v>13.120000000000005</v>
      </c>
      <c r="O255" s="106">
        <f t="shared" si="48"/>
        <v>33.70000000000001</v>
      </c>
      <c r="P255" s="108">
        <v>40.28</v>
      </c>
      <c r="Q255" s="108">
        <v>9.2333333333333325</v>
      </c>
      <c r="R255" s="107">
        <v>26.766666666666655</v>
      </c>
      <c r="S255" s="41" t="s">
        <v>433</v>
      </c>
      <c r="T255" s="41" t="s">
        <v>431</v>
      </c>
      <c r="U255" s="33"/>
      <c r="V255" s="43"/>
      <c r="W255" s="47"/>
      <c r="X255" s="47"/>
      <c r="AC255" s="88"/>
    </row>
    <row r="256" spans="1:29" ht="15.95" customHeight="1" x14ac:dyDescent="0.25">
      <c r="A256" s="29" t="s">
        <v>293</v>
      </c>
      <c r="B256" s="31">
        <v>0.22708333333333333</v>
      </c>
      <c r="C256" s="31">
        <v>0.7597222222222223</v>
      </c>
      <c r="D256" s="31">
        <v>0.15763888888888888</v>
      </c>
      <c r="E256" s="31">
        <v>0.82916666666666661</v>
      </c>
      <c r="F256" s="31">
        <v>0.18263888888888891</v>
      </c>
      <c r="G256" s="31">
        <v>0.8041666666666667</v>
      </c>
      <c r="H256" s="31">
        <v>0.20694444444444446</v>
      </c>
      <c r="I256" s="31">
        <v>0.77986111111111101</v>
      </c>
      <c r="J256" s="31">
        <v>0.49374999999999997</v>
      </c>
      <c r="K256" s="30">
        <f>((K278-K248)/30)+K255</f>
        <v>73.466666666666697</v>
      </c>
      <c r="L256" s="30">
        <f>((L278-L248)/30)+L255</f>
        <v>59.333333333333314</v>
      </c>
      <c r="M256" s="90">
        <v>58.760000000000026</v>
      </c>
      <c r="N256" s="89">
        <f t="shared" si="47"/>
        <v>13.080000000000005</v>
      </c>
      <c r="O256" s="106">
        <f t="shared" si="48"/>
        <v>33.800000000000011</v>
      </c>
      <c r="P256" s="108">
        <v>39.92</v>
      </c>
      <c r="Q256" s="108">
        <v>9.2666666666666657</v>
      </c>
      <c r="R256" s="107">
        <v>26.73333333333332</v>
      </c>
      <c r="S256" s="41" t="s">
        <v>433</v>
      </c>
      <c r="T256" s="41" t="s">
        <v>431</v>
      </c>
      <c r="U256" s="33"/>
      <c r="V256" s="43"/>
      <c r="W256" s="47"/>
      <c r="X256" s="47"/>
      <c r="AC256" s="88"/>
    </row>
    <row r="257" spans="1:29" ht="15.95" customHeight="1" x14ac:dyDescent="0.25">
      <c r="A257" s="29" t="s">
        <v>294</v>
      </c>
      <c r="B257" s="31">
        <v>0.22777777777777777</v>
      </c>
      <c r="C257" s="31">
        <v>0.7583333333333333</v>
      </c>
      <c r="D257" s="31">
        <v>0.15833333333333333</v>
      </c>
      <c r="E257" s="31">
        <v>0.82777777777777783</v>
      </c>
      <c r="F257" s="31">
        <v>0.18333333333333335</v>
      </c>
      <c r="G257" s="31">
        <v>0.8027777777777777</v>
      </c>
      <c r="H257" s="31">
        <v>0.2076388888888889</v>
      </c>
      <c r="I257" s="31">
        <v>0.77847222222222223</v>
      </c>
      <c r="J257" s="31">
        <v>0.49374999999999997</v>
      </c>
      <c r="K257" s="30">
        <f>((K278-K248)/30)+K256</f>
        <v>73.400000000000034</v>
      </c>
      <c r="L257" s="30">
        <f>((L278-L248)/30)+L256</f>
        <v>58.999999999999979</v>
      </c>
      <c r="M257" s="90">
        <v>58.28000000000003</v>
      </c>
      <c r="N257" s="89">
        <f t="shared" si="47"/>
        <v>13.040000000000006</v>
      </c>
      <c r="O257" s="106">
        <f t="shared" si="48"/>
        <v>33.900000000000013</v>
      </c>
      <c r="P257" s="108">
        <v>39.56</v>
      </c>
      <c r="Q257" s="108">
        <v>9.2999999999999989</v>
      </c>
      <c r="R257" s="107">
        <v>26.699999999999985</v>
      </c>
      <c r="S257" s="41" t="s">
        <v>433</v>
      </c>
      <c r="T257" s="41" t="s">
        <v>431</v>
      </c>
      <c r="U257" s="33"/>
      <c r="V257" s="43"/>
      <c r="W257" s="47"/>
      <c r="X257" s="47"/>
      <c r="AC257" s="88"/>
    </row>
    <row r="258" spans="1:29" ht="15.95" customHeight="1" x14ac:dyDescent="0.25">
      <c r="A258" s="29" t="s">
        <v>295</v>
      </c>
      <c r="B258" s="31">
        <v>0.22847222222222222</v>
      </c>
      <c r="C258" s="31">
        <v>0.75763888888888886</v>
      </c>
      <c r="D258" s="31">
        <v>0.15972222222222224</v>
      </c>
      <c r="E258" s="31">
        <v>0.8256944444444444</v>
      </c>
      <c r="F258" s="31">
        <v>0.18472222222222223</v>
      </c>
      <c r="G258" s="31">
        <v>0.80138888888888893</v>
      </c>
      <c r="H258" s="31">
        <v>0.20833333333333334</v>
      </c>
      <c r="I258" s="31">
        <v>0.77777777777777779</v>
      </c>
      <c r="J258" s="31">
        <v>0.49305555555555558</v>
      </c>
      <c r="K258" s="30">
        <f>((K278-K248)/30)+K257</f>
        <v>73.333333333333371</v>
      </c>
      <c r="L258" s="30">
        <f>((L278-L248)/30)+L257</f>
        <v>58.666666666666643</v>
      </c>
      <c r="M258" s="90">
        <v>57.800000000000033</v>
      </c>
      <c r="N258" s="89">
        <f t="shared" si="47"/>
        <v>13.000000000000007</v>
      </c>
      <c r="O258" s="106">
        <f t="shared" si="48"/>
        <v>34.000000000000014</v>
      </c>
      <c r="P258" s="108">
        <v>39.200000000000003</v>
      </c>
      <c r="Q258" s="108">
        <v>9.3333333333333321</v>
      </c>
      <c r="R258" s="107">
        <v>26.66666666666665</v>
      </c>
      <c r="S258" s="41" t="s">
        <v>433</v>
      </c>
      <c r="T258" s="41" t="s">
        <v>431</v>
      </c>
      <c r="U258" s="33"/>
      <c r="V258" s="43"/>
      <c r="W258" s="47"/>
      <c r="X258" s="47"/>
      <c r="AC258" s="88"/>
    </row>
    <row r="259" spans="1:29" ht="15.95" customHeight="1" x14ac:dyDescent="0.25">
      <c r="A259" s="29" t="s">
        <v>296</v>
      </c>
      <c r="B259" s="31">
        <v>0.22916666666666666</v>
      </c>
      <c r="C259" s="31">
        <v>0.75624999999999998</v>
      </c>
      <c r="D259" s="31">
        <v>0.16041666666666668</v>
      </c>
      <c r="E259" s="31">
        <v>0.82430555555555562</v>
      </c>
      <c r="F259" s="31">
        <v>0.18541666666666667</v>
      </c>
      <c r="G259" s="31">
        <v>0.79999999999999993</v>
      </c>
      <c r="H259" s="31">
        <v>0.20902777777777778</v>
      </c>
      <c r="I259" s="31">
        <v>0.77638888888888891</v>
      </c>
      <c r="J259" s="31">
        <v>0.49305555555555558</v>
      </c>
      <c r="K259" s="30">
        <f>((K278-K248)/30)+K258</f>
        <v>73.266666666666708</v>
      </c>
      <c r="L259" s="30">
        <f>((L278-L248)/30)+L258</f>
        <v>58.333333333333307</v>
      </c>
      <c r="M259" s="90">
        <v>57.320000000000036</v>
      </c>
      <c r="N259" s="89">
        <f t="shared" si="47"/>
        <v>12.960000000000008</v>
      </c>
      <c r="O259" s="106">
        <f t="shared" si="48"/>
        <v>34.100000000000016</v>
      </c>
      <c r="P259" s="108">
        <v>38.840000000000003</v>
      </c>
      <c r="Q259" s="108">
        <v>9.3666666666666654</v>
      </c>
      <c r="R259" s="107">
        <v>26.633333333333315</v>
      </c>
      <c r="S259" s="41" t="s">
        <v>433</v>
      </c>
      <c r="T259" s="41" t="s">
        <v>431</v>
      </c>
      <c r="U259" s="33"/>
      <c r="V259" s="43"/>
      <c r="W259" s="47"/>
      <c r="X259" s="47"/>
      <c r="AC259" s="88"/>
    </row>
    <row r="260" spans="1:29" ht="15.95" customHeight="1" x14ac:dyDescent="0.25">
      <c r="A260" s="29" t="s">
        <v>297</v>
      </c>
      <c r="B260" s="31">
        <v>0.2298611111111111</v>
      </c>
      <c r="C260" s="31">
        <v>0.75486111111111109</v>
      </c>
      <c r="D260" s="31">
        <v>0.16180555555555556</v>
      </c>
      <c r="E260" s="31">
        <v>0.82291666666666663</v>
      </c>
      <c r="F260" s="31">
        <v>0.18611111111111112</v>
      </c>
      <c r="G260" s="31">
        <v>0.79861111111111116</v>
      </c>
      <c r="H260" s="31">
        <v>0.20972222222222223</v>
      </c>
      <c r="I260" s="31">
        <v>0.77500000000000002</v>
      </c>
      <c r="J260" s="31">
        <v>0.49305555555555558</v>
      </c>
      <c r="K260" s="30">
        <f>((K278-K248)/30)+K259</f>
        <v>73.200000000000045</v>
      </c>
      <c r="L260" s="30">
        <f>((L278-L248)/30)+L259</f>
        <v>57.999999999999972</v>
      </c>
      <c r="M260" s="90">
        <v>56.840000000000039</v>
      </c>
      <c r="N260" s="89">
        <f t="shared" si="47"/>
        <v>12.920000000000009</v>
      </c>
      <c r="O260" s="106">
        <f t="shared" si="48"/>
        <v>34.200000000000017</v>
      </c>
      <c r="P260" s="108">
        <v>38.480000000000004</v>
      </c>
      <c r="Q260" s="108">
        <v>9.3999999999999986</v>
      </c>
      <c r="R260" s="107">
        <v>26.59999999999998</v>
      </c>
      <c r="S260" s="41" t="s">
        <v>433</v>
      </c>
      <c r="T260" s="41" t="s">
        <v>431</v>
      </c>
      <c r="U260" s="33"/>
      <c r="V260" s="43"/>
      <c r="W260" s="47"/>
      <c r="X260" s="47"/>
      <c r="AC260" s="88"/>
    </row>
    <row r="261" spans="1:29" ht="15.95" customHeight="1" x14ac:dyDescent="0.25">
      <c r="A261" s="29" t="s">
        <v>298</v>
      </c>
      <c r="B261" s="31">
        <v>0.23055555555555554</v>
      </c>
      <c r="C261" s="31">
        <v>0.75347222222222221</v>
      </c>
      <c r="D261" s="31">
        <v>0.16250000000000001</v>
      </c>
      <c r="E261" s="31">
        <v>0.82152777777777775</v>
      </c>
      <c r="F261" s="31">
        <v>0.18680555555555556</v>
      </c>
      <c r="G261" s="31">
        <v>0.79722222222222217</v>
      </c>
      <c r="H261" s="31">
        <v>0.21111111111111111</v>
      </c>
      <c r="I261" s="31">
        <v>0.77361111111111114</v>
      </c>
      <c r="J261" s="31">
        <v>0.49236111111111108</v>
      </c>
      <c r="K261" s="30">
        <f>((K278-K248)/30)+K260</f>
        <v>73.133333333333383</v>
      </c>
      <c r="L261" s="30">
        <f>((L278-L248)/30)+L260</f>
        <v>57.666666666666636</v>
      </c>
      <c r="M261" s="90">
        <v>56.360000000000042</v>
      </c>
      <c r="N261" s="89">
        <f t="shared" si="47"/>
        <v>12.88000000000001</v>
      </c>
      <c r="O261" s="106">
        <f t="shared" si="48"/>
        <v>34.300000000000018</v>
      </c>
      <c r="P261" s="108">
        <v>38.120000000000005</v>
      </c>
      <c r="Q261" s="108">
        <v>9.4333333333333318</v>
      </c>
      <c r="R261" s="107">
        <v>26.566666666666645</v>
      </c>
      <c r="S261" s="41" t="s">
        <v>433</v>
      </c>
      <c r="T261" s="41" t="s">
        <v>431</v>
      </c>
      <c r="U261" s="33"/>
      <c r="V261" s="43"/>
      <c r="W261" s="47"/>
      <c r="X261" s="47"/>
      <c r="AC261" s="88"/>
    </row>
    <row r="262" spans="1:29" ht="15.95" customHeight="1" x14ac:dyDescent="0.25">
      <c r="A262" s="29" t="s">
        <v>299</v>
      </c>
      <c r="B262" s="31">
        <v>0.23194444444444443</v>
      </c>
      <c r="C262" s="31">
        <v>0.75208333333333333</v>
      </c>
      <c r="D262" s="31">
        <v>0.16319444444444445</v>
      </c>
      <c r="E262" s="31">
        <v>0.82013888888888886</v>
      </c>
      <c r="F262" s="31">
        <v>0.18819444444444444</v>
      </c>
      <c r="G262" s="31">
        <v>0.79583333333333339</v>
      </c>
      <c r="H262" s="31">
        <v>0.21180555555555555</v>
      </c>
      <c r="I262" s="31">
        <v>0.77222222222222225</v>
      </c>
      <c r="J262" s="31">
        <v>0.49236111111111108</v>
      </c>
      <c r="K262" s="30">
        <f>((K278-K248)/30)+K261</f>
        <v>73.06666666666672</v>
      </c>
      <c r="L262" s="30">
        <f>((L278-L248)/30)+L261</f>
        <v>57.3333333333333</v>
      </c>
      <c r="M262" s="90">
        <v>55.880000000000045</v>
      </c>
      <c r="N262" s="89">
        <f t="shared" si="47"/>
        <v>12.840000000000011</v>
      </c>
      <c r="O262" s="106">
        <f t="shared" si="48"/>
        <v>34.40000000000002</v>
      </c>
      <c r="P262" s="108">
        <v>37.760000000000005</v>
      </c>
      <c r="Q262" s="108">
        <v>9.466666666666665</v>
      </c>
      <c r="R262" s="107">
        <v>26.53333333333331</v>
      </c>
      <c r="S262" s="41" t="s">
        <v>433</v>
      </c>
      <c r="T262" s="41" t="s">
        <v>431</v>
      </c>
      <c r="U262" s="33"/>
      <c r="V262" s="43"/>
      <c r="W262" s="47"/>
      <c r="X262" s="47"/>
      <c r="AC262" s="88"/>
    </row>
    <row r="263" spans="1:29" ht="15.95" customHeight="1" x14ac:dyDescent="0.25">
      <c r="A263" s="29" t="s">
        <v>300</v>
      </c>
      <c r="B263" s="31">
        <v>0.23263888888888887</v>
      </c>
      <c r="C263" s="31">
        <v>0.75069444444444444</v>
      </c>
      <c r="D263" s="31">
        <v>0.16458333333333333</v>
      </c>
      <c r="E263" s="31">
        <v>0.81874999999999998</v>
      </c>
      <c r="F263" s="31">
        <v>0.18888888888888888</v>
      </c>
      <c r="G263" s="31">
        <v>0.7944444444444444</v>
      </c>
      <c r="H263" s="31">
        <v>0.21249999999999999</v>
      </c>
      <c r="I263" s="31">
        <v>0.77083333333333337</v>
      </c>
      <c r="J263" s="31">
        <v>0.4916666666666667</v>
      </c>
      <c r="K263" s="30">
        <f>((K278-K248)/30)+K262</f>
        <v>73.000000000000057</v>
      </c>
      <c r="L263" s="30">
        <f>((L278-L248)/30)+L262</f>
        <v>56.999999999999964</v>
      </c>
      <c r="M263" s="90">
        <v>55.400000000000048</v>
      </c>
      <c r="N263" s="89">
        <f t="shared" si="47"/>
        <v>12.800000000000011</v>
      </c>
      <c r="O263" s="106">
        <f t="shared" si="48"/>
        <v>34.500000000000021</v>
      </c>
      <c r="P263" s="108">
        <v>37.400000000000006</v>
      </c>
      <c r="Q263" s="108">
        <v>9.4999999999999982</v>
      </c>
      <c r="R263" s="107">
        <v>26.499999999999975</v>
      </c>
      <c r="S263" s="41" t="s">
        <v>433</v>
      </c>
      <c r="T263" s="41" t="s">
        <v>431</v>
      </c>
      <c r="U263" s="33"/>
      <c r="V263" s="43"/>
      <c r="W263" s="47"/>
      <c r="X263" s="47"/>
      <c r="AC263" s="88"/>
    </row>
    <row r="264" spans="1:29" ht="15.95" customHeight="1" x14ac:dyDescent="0.25">
      <c r="A264" s="29" t="s">
        <v>301</v>
      </c>
      <c r="B264" s="31">
        <v>0.23333333333333331</v>
      </c>
      <c r="C264" s="31">
        <v>0.75</v>
      </c>
      <c r="D264" s="31">
        <v>0.16527777777777777</v>
      </c>
      <c r="E264" s="31">
        <v>0.81736111111111109</v>
      </c>
      <c r="F264" s="31">
        <v>0.18958333333333333</v>
      </c>
      <c r="G264" s="31">
        <v>0.79305555555555562</v>
      </c>
      <c r="H264" s="31">
        <v>0.21319444444444444</v>
      </c>
      <c r="I264" s="31">
        <v>0.76944444444444438</v>
      </c>
      <c r="J264" s="31">
        <v>0.4916666666666667</v>
      </c>
      <c r="K264" s="30">
        <f>((K278-K248)/30)+K263</f>
        <v>72.933333333333394</v>
      </c>
      <c r="L264" s="30">
        <f>((L278-L248)/30)+L263</f>
        <v>56.666666666666629</v>
      </c>
      <c r="M264" s="90">
        <v>54.920000000000051</v>
      </c>
      <c r="N264" s="89">
        <f t="shared" si="47"/>
        <v>12.760000000000012</v>
      </c>
      <c r="O264" s="106">
        <f t="shared" si="48"/>
        <v>34.600000000000023</v>
      </c>
      <c r="P264" s="108">
        <v>37.040000000000006</v>
      </c>
      <c r="Q264" s="108">
        <v>9.5333333333333314</v>
      </c>
      <c r="R264" s="107">
        <v>26.46666666666664</v>
      </c>
      <c r="S264" s="41" t="s">
        <v>433</v>
      </c>
      <c r="T264" s="41" t="s">
        <v>431</v>
      </c>
      <c r="U264" s="33"/>
      <c r="V264" s="43"/>
      <c r="W264" s="47"/>
      <c r="X264" s="47"/>
      <c r="AC264" s="88"/>
    </row>
    <row r="265" spans="1:29" ht="15.95" customHeight="1" x14ac:dyDescent="0.25">
      <c r="A265" s="29" t="s">
        <v>302</v>
      </c>
      <c r="B265" s="31">
        <v>0.23402777777777781</v>
      </c>
      <c r="C265" s="31">
        <v>0.74861111111111101</v>
      </c>
      <c r="D265" s="31">
        <v>0.16597222222222222</v>
      </c>
      <c r="E265" s="31">
        <v>0.81597222222222221</v>
      </c>
      <c r="F265" s="31">
        <v>0.19027777777777777</v>
      </c>
      <c r="G265" s="31">
        <v>0.79166666666666663</v>
      </c>
      <c r="H265" s="31">
        <v>0.21388888888888891</v>
      </c>
      <c r="I265" s="31">
        <v>0.7680555555555556</v>
      </c>
      <c r="J265" s="31">
        <v>0.4916666666666667</v>
      </c>
      <c r="K265" s="30">
        <f>((K278-K248)/30)+K264</f>
        <v>72.866666666666731</v>
      </c>
      <c r="L265" s="30">
        <f>((L278-L248)/30)+L264</f>
        <v>56.333333333333293</v>
      </c>
      <c r="M265" s="90">
        <v>54.440000000000055</v>
      </c>
      <c r="N265" s="89">
        <f t="shared" si="47"/>
        <v>12.720000000000013</v>
      </c>
      <c r="O265" s="106">
        <f t="shared" si="48"/>
        <v>34.700000000000024</v>
      </c>
      <c r="P265" s="108">
        <v>36.680000000000007</v>
      </c>
      <c r="Q265" s="108">
        <v>9.5666666666666647</v>
      </c>
      <c r="R265" s="107">
        <v>26.433333333333305</v>
      </c>
      <c r="S265" s="41" t="s">
        <v>433</v>
      </c>
      <c r="T265" s="41" t="s">
        <v>431</v>
      </c>
      <c r="U265" s="33"/>
      <c r="V265" s="43"/>
      <c r="W265" s="47"/>
      <c r="X265" s="47"/>
      <c r="AC265" s="88"/>
    </row>
    <row r="266" spans="1:29" ht="15.95" customHeight="1" x14ac:dyDescent="0.25">
      <c r="A266" s="29" t="s">
        <v>303</v>
      </c>
      <c r="B266" s="31">
        <v>0.23472222222222219</v>
      </c>
      <c r="C266" s="31">
        <v>0.74722222222222223</v>
      </c>
      <c r="D266" s="31">
        <v>0.1673611111111111</v>
      </c>
      <c r="E266" s="31">
        <v>0.81458333333333333</v>
      </c>
      <c r="F266" s="31">
        <v>0.19166666666666665</v>
      </c>
      <c r="G266" s="31">
        <v>0.79027777777777775</v>
      </c>
      <c r="H266" s="31">
        <v>0.21458333333333335</v>
      </c>
      <c r="I266" s="31">
        <v>0.76736111111111116</v>
      </c>
      <c r="J266" s="31">
        <v>0.4909722222222222</v>
      </c>
      <c r="K266" s="30">
        <f>((K278-K248)/30)+K265</f>
        <v>72.800000000000068</v>
      </c>
      <c r="L266" s="30">
        <f>((L278-L248)/30)+L265</f>
        <v>55.999999999999957</v>
      </c>
      <c r="M266" s="90">
        <v>53.960000000000058</v>
      </c>
      <c r="N266" s="89">
        <f t="shared" si="47"/>
        <v>12.680000000000014</v>
      </c>
      <c r="O266" s="106">
        <f t="shared" si="48"/>
        <v>34.800000000000026</v>
      </c>
      <c r="P266" s="108">
        <v>36.320000000000007</v>
      </c>
      <c r="Q266" s="108">
        <v>9.5999999999999979</v>
      </c>
      <c r="R266" s="107">
        <v>26.39999999999997</v>
      </c>
      <c r="S266" s="41" t="s">
        <v>433</v>
      </c>
      <c r="T266" s="41" t="s">
        <v>431</v>
      </c>
      <c r="U266" s="33"/>
      <c r="V266" s="43"/>
      <c r="W266" s="47"/>
      <c r="X266" s="47"/>
      <c r="AC266" s="88"/>
    </row>
    <row r="267" spans="1:29" ht="15.95" customHeight="1" x14ac:dyDescent="0.25">
      <c r="A267" s="29" t="s">
        <v>304</v>
      </c>
      <c r="B267" s="31">
        <v>0.23541666666666669</v>
      </c>
      <c r="C267" s="31">
        <v>0.74583333333333324</v>
      </c>
      <c r="D267" s="31">
        <v>0.16805555555555554</v>
      </c>
      <c r="E267" s="31">
        <v>0.81319444444444444</v>
      </c>
      <c r="F267" s="31">
        <v>0.19236111111111112</v>
      </c>
      <c r="G267" s="31">
        <v>0.78888888888888886</v>
      </c>
      <c r="H267" s="31">
        <v>0.21597222222222223</v>
      </c>
      <c r="I267" s="31">
        <v>0.76597222222222217</v>
      </c>
      <c r="J267" s="31">
        <v>0.4909722222222222</v>
      </c>
      <c r="K267" s="30">
        <f>((K278-K248)/30)+K266</f>
        <v>72.733333333333405</v>
      </c>
      <c r="L267" s="30">
        <f>((L278-L248)/30)+L266</f>
        <v>55.666666666666622</v>
      </c>
      <c r="M267" s="90">
        <v>53.480000000000061</v>
      </c>
      <c r="N267" s="89">
        <f t="shared" si="47"/>
        <v>12.640000000000015</v>
      </c>
      <c r="O267" s="106">
        <f t="shared" si="48"/>
        <v>34.900000000000027</v>
      </c>
      <c r="P267" s="108">
        <v>35.960000000000008</v>
      </c>
      <c r="Q267" s="108">
        <v>9.6333333333333311</v>
      </c>
      <c r="R267" s="107">
        <v>26.366666666666635</v>
      </c>
      <c r="S267" s="41" t="s">
        <v>433</v>
      </c>
      <c r="T267" s="41" t="s">
        <v>431</v>
      </c>
      <c r="U267" s="33"/>
      <c r="V267" s="43"/>
      <c r="W267" s="47"/>
      <c r="X267" s="47"/>
      <c r="AC267" s="88"/>
    </row>
    <row r="268" spans="1:29" ht="15.95" customHeight="1" x14ac:dyDescent="0.25">
      <c r="A268" s="29" t="s">
        <v>305</v>
      </c>
      <c r="B268" s="31">
        <v>0.23611111111111113</v>
      </c>
      <c r="C268" s="31">
        <v>0.74444444444444446</v>
      </c>
      <c r="D268" s="31">
        <v>0.16874999999999998</v>
      </c>
      <c r="E268" s="31">
        <v>0.81180555555555556</v>
      </c>
      <c r="F268" s="31">
        <v>0.19305555555555554</v>
      </c>
      <c r="G268" s="31">
        <v>0.78749999999999998</v>
      </c>
      <c r="H268" s="31">
        <v>0.21666666666666667</v>
      </c>
      <c r="I268" s="31">
        <v>0.76458333333333339</v>
      </c>
      <c r="J268" s="31">
        <v>0.4909722222222222</v>
      </c>
      <c r="K268" s="30">
        <f>((K278-K248)/30)+K267</f>
        <v>72.666666666666742</v>
      </c>
      <c r="L268" s="30">
        <f>((L278-L248)/30)+L267</f>
        <v>55.333333333333286</v>
      </c>
      <c r="M268" s="90">
        <v>53.000000000000064</v>
      </c>
      <c r="N268" s="89">
        <f t="shared" si="47"/>
        <v>12.600000000000016</v>
      </c>
      <c r="O268" s="106">
        <f t="shared" si="48"/>
        <v>35.000000000000028</v>
      </c>
      <c r="P268" s="108">
        <v>35.600000000000009</v>
      </c>
      <c r="Q268" s="108">
        <v>9.6666666666666643</v>
      </c>
      <c r="R268" s="107">
        <v>26.3333333333333</v>
      </c>
      <c r="S268" s="41" t="s">
        <v>433</v>
      </c>
      <c r="T268" s="41" t="s">
        <v>431</v>
      </c>
      <c r="U268" s="33"/>
      <c r="V268" s="43"/>
      <c r="W268" s="47"/>
      <c r="X268" s="47"/>
      <c r="AC268" s="88"/>
    </row>
    <row r="269" spans="1:29" ht="15.95" customHeight="1" x14ac:dyDescent="0.25">
      <c r="A269" s="29" t="s">
        <v>306</v>
      </c>
      <c r="B269" s="31">
        <v>0.23750000000000002</v>
      </c>
      <c r="C269" s="31">
        <v>0.74305555555555547</v>
      </c>
      <c r="D269" s="31">
        <v>0.17013888888888887</v>
      </c>
      <c r="E269" s="31">
        <v>0.81041666666666667</v>
      </c>
      <c r="F269" s="31">
        <v>0.19375000000000001</v>
      </c>
      <c r="G269" s="31">
        <v>0.78680555555555554</v>
      </c>
      <c r="H269" s="31">
        <v>0.21736111111111112</v>
      </c>
      <c r="I269" s="31">
        <v>0.7631944444444444</v>
      </c>
      <c r="J269" s="31">
        <v>0.49027777777777781</v>
      </c>
      <c r="K269" s="30">
        <f>((K278-K248)/30)+K268</f>
        <v>72.60000000000008</v>
      </c>
      <c r="L269" s="30">
        <f>((L278-L248)/30)+L268</f>
        <v>54.99999999999995</v>
      </c>
      <c r="M269" s="90">
        <v>52.520000000000067</v>
      </c>
      <c r="N269" s="89">
        <f t="shared" si="47"/>
        <v>12.560000000000016</v>
      </c>
      <c r="O269" s="106">
        <f t="shared" si="48"/>
        <v>35.10000000000003</v>
      </c>
      <c r="P269" s="108">
        <v>35.240000000000009</v>
      </c>
      <c r="Q269" s="108">
        <v>9.6999999999999975</v>
      </c>
      <c r="R269" s="107">
        <v>26.299999999999965</v>
      </c>
      <c r="S269" s="41" t="s">
        <v>433</v>
      </c>
      <c r="T269" s="41" t="s">
        <v>431</v>
      </c>
      <c r="U269" s="33"/>
      <c r="V269" s="43"/>
      <c r="W269" s="47"/>
      <c r="X269" s="47"/>
      <c r="AC269" s="88"/>
    </row>
    <row r="270" spans="1:29" ht="15.95" customHeight="1" x14ac:dyDescent="0.25">
      <c r="A270" s="29" t="s">
        <v>307</v>
      </c>
      <c r="B270" s="31">
        <v>0.23819444444444446</v>
      </c>
      <c r="C270" s="31">
        <v>0.74236111111111114</v>
      </c>
      <c r="D270" s="31">
        <v>0.17083333333333331</v>
      </c>
      <c r="E270" s="31">
        <v>0.80902777777777779</v>
      </c>
      <c r="F270" s="31">
        <v>0.19444444444444445</v>
      </c>
      <c r="G270" s="31">
        <v>0.78541666666666676</v>
      </c>
      <c r="H270" s="31">
        <v>0.21805555555555556</v>
      </c>
      <c r="I270" s="31">
        <v>0.76180555555555562</v>
      </c>
      <c r="J270" s="31">
        <v>0.49027777777777781</v>
      </c>
      <c r="K270" s="30">
        <f>((K278-K248)/30)+K269</f>
        <v>72.533333333333417</v>
      </c>
      <c r="L270" s="30">
        <f>((L278-L248)/30)+L269</f>
        <v>54.666666666666615</v>
      </c>
      <c r="M270" s="90">
        <v>52.04000000000007</v>
      </c>
      <c r="N270" s="89">
        <f t="shared" si="47"/>
        <v>12.520000000000017</v>
      </c>
      <c r="O270" s="106">
        <f t="shared" si="48"/>
        <v>35.200000000000031</v>
      </c>
      <c r="P270" s="108">
        <v>34.88000000000001</v>
      </c>
      <c r="Q270" s="108">
        <v>9.7333333333333307</v>
      </c>
      <c r="R270" s="107">
        <v>26.26666666666663</v>
      </c>
      <c r="S270" s="41" t="s">
        <v>433</v>
      </c>
      <c r="T270" s="41" t="s">
        <v>431</v>
      </c>
      <c r="U270" s="33"/>
      <c r="V270" s="43"/>
      <c r="W270" s="47"/>
      <c r="X270" s="47"/>
      <c r="AC270" s="88"/>
    </row>
    <row r="271" spans="1:29" ht="15.95" customHeight="1" x14ac:dyDescent="0.25">
      <c r="A271" s="29" t="s">
        <v>308</v>
      </c>
      <c r="B271" s="31">
        <v>0.2388888888888889</v>
      </c>
      <c r="C271" s="31">
        <v>0.74097222222222225</v>
      </c>
      <c r="D271" s="31">
        <v>0.17152777777777775</v>
      </c>
      <c r="E271" s="31">
        <v>0.80763888888888891</v>
      </c>
      <c r="F271" s="31">
        <v>0.19583333333333333</v>
      </c>
      <c r="G271" s="31">
        <v>0.78402777777777777</v>
      </c>
      <c r="H271" s="31">
        <v>0.21875</v>
      </c>
      <c r="I271" s="31">
        <v>0.76041666666666663</v>
      </c>
      <c r="J271" s="31">
        <v>0.49027777777777781</v>
      </c>
      <c r="K271" s="30">
        <f>((K278-K248)/30)+K270</f>
        <v>72.466666666666754</v>
      </c>
      <c r="L271" s="30">
        <f>((L278-L248)/30)+L270</f>
        <v>54.333333333333279</v>
      </c>
      <c r="M271" s="90">
        <v>51.560000000000073</v>
      </c>
      <c r="N271" s="89">
        <f t="shared" si="47"/>
        <v>12.480000000000018</v>
      </c>
      <c r="O271" s="106">
        <f t="shared" si="48"/>
        <v>35.300000000000033</v>
      </c>
      <c r="P271" s="108">
        <v>34.52000000000001</v>
      </c>
      <c r="Q271" s="108">
        <v>9.7666666666666639</v>
      </c>
      <c r="R271" s="107">
        <v>26.233333333333295</v>
      </c>
      <c r="S271" s="41" t="s">
        <v>433</v>
      </c>
      <c r="T271" s="41" t="s">
        <v>431</v>
      </c>
      <c r="U271" s="33"/>
      <c r="V271" s="43"/>
      <c r="W271" s="47"/>
      <c r="X271" s="47"/>
      <c r="AC271" s="88"/>
    </row>
    <row r="272" spans="1:29" ht="15.95" customHeight="1" x14ac:dyDescent="0.25">
      <c r="A272" s="29" t="s">
        <v>309</v>
      </c>
      <c r="B272" s="31">
        <v>0.23958333333333334</v>
      </c>
      <c r="C272" s="31">
        <v>0.73958333333333337</v>
      </c>
      <c r="D272" s="31">
        <v>0.17291666666666669</v>
      </c>
      <c r="E272" s="31">
        <v>0.80625000000000002</v>
      </c>
      <c r="F272" s="31">
        <v>0.19652777777777777</v>
      </c>
      <c r="G272" s="31">
        <v>0.78263888888888899</v>
      </c>
      <c r="H272" s="31">
        <v>0.21944444444444444</v>
      </c>
      <c r="I272" s="31">
        <v>0.75902777777777775</v>
      </c>
      <c r="J272" s="31">
        <v>0.48958333333333331</v>
      </c>
      <c r="K272" s="30">
        <f>((K278-K248)/30)+K271</f>
        <v>72.400000000000091</v>
      </c>
      <c r="L272" s="30">
        <f>((L278-L248)/30)+L271</f>
        <v>53.999999999999943</v>
      </c>
      <c r="M272" s="90">
        <v>51.080000000000076</v>
      </c>
      <c r="N272" s="89">
        <f t="shared" si="47"/>
        <v>12.440000000000019</v>
      </c>
      <c r="O272" s="106">
        <f t="shared" si="48"/>
        <v>35.400000000000034</v>
      </c>
      <c r="P272" s="108">
        <v>34.160000000000011</v>
      </c>
      <c r="Q272" s="108">
        <v>9.7999999999999972</v>
      </c>
      <c r="R272" s="107">
        <v>26.19999999999996</v>
      </c>
      <c r="S272" s="41" t="s">
        <v>433</v>
      </c>
      <c r="T272" s="41" t="s">
        <v>431</v>
      </c>
      <c r="U272" s="33"/>
      <c r="V272" s="43"/>
      <c r="W272" s="47"/>
      <c r="X272" s="47"/>
      <c r="AC272" s="88"/>
    </row>
    <row r="273" spans="1:29" ht="15.95" customHeight="1" x14ac:dyDescent="0.25">
      <c r="A273" s="29" t="s">
        <v>310</v>
      </c>
      <c r="B273" s="31">
        <v>0.24027777777777778</v>
      </c>
      <c r="C273" s="31">
        <v>0.73819444444444438</v>
      </c>
      <c r="D273" s="31">
        <v>0.17361111111111113</v>
      </c>
      <c r="E273" s="31">
        <v>0.80486111111111114</v>
      </c>
      <c r="F273" s="31">
        <v>0.19722222222222222</v>
      </c>
      <c r="G273" s="31">
        <v>0.78125</v>
      </c>
      <c r="H273" s="31">
        <v>0.22083333333333333</v>
      </c>
      <c r="I273" s="31">
        <v>0.7583333333333333</v>
      </c>
      <c r="J273" s="31">
        <v>0.48958333333333331</v>
      </c>
      <c r="K273" s="30">
        <f>((K278-K248)/30)+K272</f>
        <v>72.333333333333428</v>
      </c>
      <c r="L273" s="30">
        <f>((L278-L248)/30)+L272</f>
        <v>53.666666666666607</v>
      </c>
      <c r="M273" s="90">
        <v>50.60000000000008</v>
      </c>
      <c r="N273" s="89">
        <f t="shared" si="47"/>
        <v>12.40000000000002</v>
      </c>
      <c r="O273" s="106">
        <f t="shared" si="48"/>
        <v>35.500000000000036</v>
      </c>
      <c r="P273" s="108">
        <v>33.800000000000011</v>
      </c>
      <c r="Q273" s="108">
        <v>9.8333333333333304</v>
      </c>
      <c r="R273" s="107">
        <v>26.166666666666625</v>
      </c>
      <c r="S273" s="41" t="s">
        <v>433</v>
      </c>
      <c r="T273" s="41" t="s">
        <v>431</v>
      </c>
      <c r="U273" s="33"/>
      <c r="V273" s="43"/>
      <c r="W273" s="47"/>
      <c r="X273" s="47"/>
      <c r="AC273" s="88"/>
    </row>
    <row r="274" spans="1:29" ht="15.95" customHeight="1" x14ac:dyDescent="0.25">
      <c r="A274" s="29" t="s">
        <v>311</v>
      </c>
      <c r="B274" s="31">
        <v>0.24097222222222223</v>
      </c>
      <c r="C274" s="31">
        <v>0.7368055555555556</v>
      </c>
      <c r="D274" s="31">
        <v>0.17430555555555557</v>
      </c>
      <c r="E274" s="31">
        <v>0.80347222222222225</v>
      </c>
      <c r="F274" s="31">
        <v>0.19791666666666666</v>
      </c>
      <c r="G274" s="31">
        <v>0.77986111111111101</v>
      </c>
      <c r="H274" s="31">
        <v>0.22152777777777777</v>
      </c>
      <c r="I274" s="31">
        <v>0.75694444444444453</v>
      </c>
      <c r="J274" s="31">
        <v>0.48958333333333331</v>
      </c>
      <c r="K274" s="30">
        <f>((K278-K248)/30)+K273</f>
        <v>72.266666666666765</v>
      </c>
      <c r="L274" s="30">
        <f>((L278-L248)/30)+L273</f>
        <v>53.333333333333272</v>
      </c>
      <c r="M274" s="90">
        <v>50.120000000000083</v>
      </c>
      <c r="N274" s="89">
        <f t="shared" si="47"/>
        <v>12.360000000000021</v>
      </c>
      <c r="O274" s="106">
        <f t="shared" si="48"/>
        <v>35.600000000000037</v>
      </c>
      <c r="P274" s="108">
        <v>33.440000000000012</v>
      </c>
      <c r="Q274" s="108">
        <v>9.8666666666666636</v>
      </c>
      <c r="R274" s="107">
        <v>26.13333333333329</v>
      </c>
      <c r="S274" s="41" t="s">
        <v>433</v>
      </c>
      <c r="T274" s="41" t="s">
        <v>431</v>
      </c>
      <c r="U274" s="33"/>
      <c r="V274" s="43"/>
      <c r="W274" s="47"/>
      <c r="X274" s="47"/>
      <c r="AC274" s="88"/>
    </row>
    <row r="275" spans="1:29" ht="15.95" customHeight="1" x14ac:dyDescent="0.25">
      <c r="A275" s="29" t="s">
        <v>312</v>
      </c>
      <c r="B275" s="31">
        <v>0.24236111111111111</v>
      </c>
      <c r="C275" s="31">
        <v>0.73541666666666661</v>
      </c>
      <c r="D275" s="31">
        <v>0.17500000000000002</v>
      </c>
      <c r="E275" s="31">
        <v>0.80208333333333337</v>
      </c>
      <c r="F275" s="31">
        <v>0.1986111111111111</v>
      </c>
      <c r="G275" s="31">
        <v>0.77847222222222223</v>
      </c>
      <c r="H275" s="31">
        <v>0.22222222222222221</v>
      </c>
      <c r="I275" s="31">
        <v>0.75555555555555554</v>
      </c>
      <c r="J275" s="31">
        <v>0.48888888888888887</v>
      </c>
      <c r="K275" s="30">
        <f>((K278-K248)/30)+K274</f>
        <v>72.200000000000102</v>
      </c>
      <c r="L275" s="30">
        <f>((L278-L248)/30)+L274</f>
        <v>52.999999999999936</v>
      </c>
      <c r="M275" s="90">
        <v>49.640000000000086</v>
      </c>
      <c r="N275" s="89">
        <f t="shared" si="47"/>
        <v>12.320000000000022</v>
      </c>
      <c r="O275" s="106">
        <f t="shared" si="48"/>
        <v>35.700000000000038</v>
      </c>
      <c r="P275" s="108">
        <v>33.080000000000013</v>
      </c>
      <c r="Q275" s="108">
        <v>9.8999999999999968</v>
      </c>
      <c r="R275" s="107">
        <v>26.099999999999955</v>
      </c>
      <c r="S275" s="41" t="s">
        <v>433</v>
      </c>
      <c r="T275" s="41" t="s">
        <v>431</v>
      </c>
      <c r="U275" s="33"/>
      <c r="V275" s="43"/>
      <c r="W275" s="47"/>
      <c r="X275" s="47"/>
      <c r="AC275" s="88"/>
    </row>
    <row r="276" spans="1:29" ht="15.95" customHeight="1" x14ac:dyDescent="0.25">
      <c r="A276" s="29" t="s">
        <v>313</v>
      </c>
      <c r="B276" s="31">
        <v>0.24305555555555555</v>
      </c>
      <c r="C276" s="31">
        <v>0.73472222222222217</v>
      </c>
      <c r="D276" s="31">
        <v>0.1763888888888889</v>
      </c>
      <c r="E276" s="31">
        <v>0.80069444444444438</v>
      </c>
      <c r="F276" s="31">
        <v>0.19999999999999998</v>
      </c>
      <c r="G276" s="31">
        <v>0.77708333333333324</v>
      </c>
      <c r="H276" s="31">
        <v>0.22291666666666665</v>
      </c>
      <c r="I276" s="31">
        <v>0.75416666666666676</v>
      </c>
      <c r="J276" s="31">
        <v>0.48888888888888887</v>
      </c>
      <c r="K276" s="30">
        <f>((K278-K248)/30)+K275</f>
        <v>72.133333333333439</v>
      </c>
      <c r="L276" s="30">
        <f>((L278-L248)/30)+L275</f>
        <v>52.6666666666666</v>
      </c>
      <c r="M276" s="90">
        <v>49.160000000000089</v>
      </c>
      <c r="N276" s="89">
        <f t="shared" si="47"/>
        <v>12.280000000000022</v>
      </c>
      <c r="O276" s="106">
        <f t="shared" si="48"/>
        <v>35.80000000000004</v>
      </c>
      <c r="P276" s="108">
        <v>32.720000000000013</v>
      </c>
      <c r="Q276" s="108">
        <v>9.93333333333333</v>
      </c>
      <c r="R276" s="107">
        <v>26.06666666666662</v>
      </c>
      <c r="S276" s="41" t="s">
        <v>433</v>
      </c>
      <c r="T276" s="41" t="s">
        <v>431</v>
      </c>
      <c r="U276" s="33"/>
      <c r="V276" s="43"/>
      <c r="W276" s="47"/>
      <c r="X276" s="47"/>
      <c r="AC276" s="88"/>
    </row>
    <row r="277" spans="1:29" ht="15.95" customHeight="1" x14ac:dyDescent="0.25">
      <c r="A277" s="29" t="s">
        <v>314</v>
      </c>
      <c r="B277" s="31">
        <v>0.24374999999999999</v>
      </c>
      <c r="C277" s="31">
        <v>0.73333333333333339</v>
      </c>
      <c r="D277" s="31">
        <v>0.17708333333333334</v>
      </c>
      <c r="E277" s="31">
        <v>0.7993055555555556</v>
      </c>
      <c r="F277" s="31">
        <v>0.20069444444444443</v>
      </c>
      <c r="G277" s="31">
        <v>0.77638888888888891</v>
      </c>
      <c r="H277" s="31">
        <v>0.22361111111111109</v>
      </c>
      <c r="I277" s="31">
        <v>0.75277777777777777</v>
      </c>
      <c r="J277" s="31">
        <v>0.48888888888888887</v>
      </c>
      <c r="K277" s="30">
        <f>((K278-K248)/30)+K276</f>
        <v>72.066666666666777</v>
      </c>
      <c r="L277" s="30">
        <f>((L278-L248)/30)+L276</f>
        <v>52.333333333333265</v>
      </c>
      <c r="M277" s="90">
        <v>48.680000000000092</v>
      </c>
      <c r="N277" s="89">
        <f t="shared" si="47"/>
        <v>12.240000000000023</v>
      </c>
      <c r="O277" s="106">
        <f t="shared" si="48"/>
        <v>35.900000000000041</v>
      </c>
      <c r="P277" s="108">
        <v>32.360000000000014</v>
      </c>
      <c r="Q277" s="108">
        <v>9.9666666666666632</v>
      </c>
      <c r="R277" s="107">
        <v>26.033333333333285</v>
      </c>
      <c r="S277" s="41" t="s">
        <v>433</v>
      </c>
      <c r="T277" s="41" t="s">
        <v>431</v>
      </c>
      <c r="U277" s="33"/>
      <c r="V277" s="43"/>
      <c r="W277" s="47"/>
      <c r="X277" s="47"/>
      <c r="AC277" s="88"/>
    </row>
    <row r="278" spans="1:29" ht="15.95" customHeight="1" x14ac:dyDescent="0.25">
      <c r="A278" s="29" t="s">
        <v>315</v>
      </c>
      <c r="B278" s="31">
        <v>0.24444444444444446</v>
      </c>
      <c r="C278" s="31">
        <v>0.7319444444444444</v>
      </c>
      <c r="D278" s="31">
        <v>0.17777777777777778</v>
      </c>
      <c r="E278" s="31">
        <v>0.79861111111111116</v>
      </c>
      <c r="F278" s="31">
        <v>0.20138888888888887</v>
      </c>
      <c r="G278" s="31">
        <v>0.77500000000000002</v>
      </c>
      <c r="H278" s="31">
        <v>0.22430555555555556</v>
      </c>
      <c r="I278" s="31">
        <v>0.75208333333333333</v>
      </c>
      <c r="J278" s="31">
        <v>0.48819444444444443</v>
      </c>
      <c r="K278" s="30">
        <v>72</v>
      </c>
      <c r="L278" s="30">
        <v>52</v>
      </c>
      <c r="M278" s="90">
        <v>48.2</v>
      </c>
      <c r="N278" s="89">
        <v>12.2</v>
      </c>
      <c r="O278" s="106">
        <v>36</v>
      </c>
      <c r="P278" s="108">
        <v>32</v>
      </c>
      <c r="Q278" s="108">
        <v>10</v>
      </c>
      <c r="R278" s="107">
        <v>26</v>
      </c>
      <c r="S278" s="41" t="s">
        <v>435</v>
      </c>
      <c r="T278" s="34" t="s">
        <v>435</v>
      </c>
      <c r="U278" s="33"/>
      <c r="V278" s="43"/>
      <c r="W278" s="47"/>
      <c r="X278" s="47"/>
      <c r="AC278" s="30"/>
    </row>
    <row r="279" spans="1:29" ht="15.95" customHeight="1" x14ac:dyDescent="0.25">
      <c r="A279" s="29" t="s">
        <v>316</v>
      </c>
      <c r="B279" s="31">
        <v>0.24513888888888888</v>
      </c>
      <c r="C279" s="31">
        <v>0.73055555555555562</v>
      </c>
      <c r="D279" s="31">
        <v>0.17847222222222223</v>
      </c>
      <c r="E279" s="31">
        <v>0.79722222222222217</v>
      </c>
      <c r="F279" s="31">
        <v>0.20208333333333331</v>
      </c>
      <c r="G279" s="31">
        <v>0.77361111111111114</v>
      </c>
      <c r="H279" s="31">
        <v>0.22569444444444445</v>
      </c>
      <c r="I279" s="31">
        <v>0.75069444444444444</v>
      </c>
      <c r="J279" s="31">
        <v>0.48819444444444443</v>
      </c>
      <c r="K279" s="30">
        <f>((K309-K278)/31)+K278</f>
        <v>71.354838709677423</v>
      </c>
      <c r="L279" s="30">
        <f>((L309-L278)/31)+L278</f>
        <v>51.677419354838712</v>
      </c>
      <c r="M279" s="90">
        <v>47.793548387096777</v>
      </c>
      <c r="N279" s="89">
        <f>((($N$309-$N$278)/31)+N278)</f>
        <v>11.96774193548387</v>
      </c>
      <c r="O279" s="106">
        <f>(($O$309-$O$278)/31)+O278</f>
        <v>36.12903225806452</v>
      </c>
      <c r="P279" s="108">
        <v>31.70967741935484</v>
      </c>
      <c r="Q279" s="108">
        <v>10</v>
      </c>
      <c r="R279" s="107">
        <v>25.93548387096774</v>
      </c>
      <c r="S279" s="41" t="s">
        <v>435</v>
      </c>
      <c r="T279" s="34" t="s">
        <v>435</v>
      </c>
      <c r="U279" s="33"/>
      <c r="V279" s="43"/>
      <c r="W279" s="47"/>
      <c r="X279" s="47"/>
      <c r="AC279" s="88"/>
    </row>
    <row r="280" spans="1:29" ht="15.95" customHeight="1" x14ac:dyDescent="0.25">
      <c r="A280" s="29" t="s">
        <v>317</v>
      </c>
      <c r="B280" s="31">
        <v>0.24583333333333335</v>
      </c>
      <c r="C280" s="31">
        <v>0.72916666666666663</v>
      </c>
      <c r="D280" s="31">
        <v>0.17986111111111111</v>
      </c>
      <c r="E280" s="31">
        <v>0.79583333333333339</v>
      </c>
      <c r="F280" s="31">
        <v>0.20277777777777781</v>
      </c>
      <c r="G280" s="31">
        <v>0.77222222222222225</v>
      </c>
      <c r="H280" s="31">
        <v>0.22638888888888889</v>
      </c>
      <c r="I280" s="31">
        <v>0.74930555555555556</v>
      </c>
      <c r="J280" s="31">
        <v>0.48819444444444443</v>
      </c>
      <c r="K280" s="30">
        <f>((K309-K278)/31)+K279</f>
        <v>70.709677419354847</v>
      </c>
      <c r="L280" s="30">
        <f>((L309-L278)/31)+L279</f>
        <v>51.354838709677423</v>
      </c>
      <c r="M280" s="90">
        <v>47.387096774193552</v>
      </c>
      <c r="N280" s="89">
        <f t="shared" ref="N280:N308" si="49">((($N$309-$N$278)/31)+N279)</f>
        <v>11.735483870967741</v>
      </c>
      <c r="O280" s="106">
        <f t="shared" ref="O280:O308" si="50">(($O$309-$O$278)/31)+O279</f>
        <v>36.258064516129039</v>
      </c>
      <c r="P280" s="108">
        <v>31.41935483870968</v>
      </c>
      <c r="Q280" s="108">
        <v>10</v>
      </c>
      <c r="R280" s="107">
        <v>25.87096774193548</v>
      </c>
      <c r="S280" s="41" t="s">
        <v>435</v>
      </c>
      <c r="T280" s="34" t="s">
        <v>435</v>
      </c>
      <c r="U280" s="33"/>
      <c r="V280" s="43"/>
      <c r="W280" s="47"/>
      <c r="X280" s="47"/>
      <c r="AC280" s="88"/>
    </row>
    <row r="281" spans="1:29" ht="15.95" customHeight="1" x14ac:dyDescent="0.25">
      <c r="A281" s="29" t="s">
        <v>318</v>
      </c>
      <c r="B281" s="31">
        <v>0.24722222222222223</v>
      </c>
      <c r="C281" s="31">
        <v>0.7284722222222223</v>
      </c>
      <c r="D281" s="31">
        <v>0.18055555555555555</v>
      </c>
      <c r="E281" s="31">
        <v>0.7944444444444444</v>
      </c>
      <c r="F281" s="31">
        <v>0.20416666666666669</v>
      </c>
      <c r="G281" s="31">
        <v>0.77083333333333337</v>
      </c>
      <c r="H281" s="31">
        <v>0.22708333333333333</v>
      </c>
      <c r="I281" s="31">
        <v>0.74791666666666667</v>
      </c>
      <c r="J281" s="31">
        <v>0.48749999999999999</v>
      </c>
      <c r="K281" s="30">
        <f>((K309-K278)/31)+K280</f>
        <v>70.06451612903227</v>
      </c>
      <c r="L281" s="30">
        <f>((L309-L278)/31)+L280</f>
        <v>51.032258064516135</v>
      </c>
      <c r="M281" s="90">
        <v>46.980645161290326</v>
      </c>
      <c r="N281" s="89">
        <f t="shared" si="49"/>
        <v>11.503225806451612</v>
      </c>
      <c r="O281" s="106">
        <f t="shared" si="50"/>
        <v>36.387096774193559</v>
      </c>
      <c r="P281" s="108">
        <v>31.12903225806452</v>
      </c>
      <c r="Q281" s="108">
        <v>10</v>
      </c>
      <c r="R281" s="107">
        <v>25.806451612903221</v>
      </c>
      <c r="S281" s="41" t="s">
        <v>435</v>
      </c>
      <c r="T281" s="34" t="s">
        <v>435</v>
      </c>
      <c r="U281" s="33"/>
      <c r="V281" s="43"/>
      <c r="W281" s="47"/>
      <c r="X281" s="47"/>
      <c r="AC281" s="88"/>
    </row>
    <row r="282" spans="1:29" ht="15.95" customHeight="1" x14ac:dyDescent="0.25">
      <c r="A282" s="29" t="s">
        <v>319</v>
      </c>
      <c r="B282" s="31">
        <v>0.24791666666666667</v>
      </c>
      <c r="C282" s="31">
        <v>0.7270833333333333</v>
      </c>
      <c r="D282" s="31">
        <v>0.18124999999999999</v>
      </c>
      <c r="E282" s="31">
        <v>0.79305555555555562</v>
      </c>
      <c r="F282" s="31">
        <v>0.20486111111111113</v>
      </c>
      <c r="G282" s="31">
        <v>0.77013888888888893</v>
      </c>
      <c r="H282" s="31">
        <v>0.22777777777777777</v>
      </c>
      <c r="I282" s="31">
        <v>0.74652777777777779</v>
      </c>
      <c r="J282" s="31">
        <v>0.48749999999999999</v>
      </c>
      <c r="K282" s="30">
        <f>((K309-K278)/31)+K281</f>
        <v>69.419354838709694</v>
      </c>
      <c r="L282" s="30">
        <f>((L309-L278)/31)+L281</f>
        <v>50.709677419354847</v>
      </c>
      <c r="M282" s="90">
        <v>46.5741935483871</v>
      </c>
      <c r="N282" s="89">
        <f t="shared" si="49"/>
        <v>11.270967741935483</v>
      </c>
      <c r="O282" s="106">
        <f t="shared" si="50"/>
        <v>36.516129032258078</v>
      </c>
      <c r="P282" s="108">
        <v>30.838709677419359</v>
      </c>
      <c r="Q282" s="108">
        <v>10</v>
      </c>
      <c r="R282" s="107">
        <v>25.741935483870961</v>
      </c>
      <c r="S282" s="41" t="s">
        <v>435</v>
      </c>
      <c r="T282" s="34" t="s">
        <v>435</v>
      </c>
      <c r="U282" s="33"/>
      <c r="V282" s="43"/>
      <c r="W282" s="47"/>
      <c r="X282" s="47"/>
      <c r="AC282" s="88"/>
    </row>
    <row r="283" spans="1:29" ht="15.95" customHeight="1" x14ac:dyDescent="0.25">
      <c r="A283" s="29" t="s">
        <v>320</v>
      </c>
      <c r="B283" s="31">
        <v>0.24861111111111112</v>
      </c>
      <c r="C283" s="31">
        <v>0.72569444444444453</v>
      </c>
      <c r="D283" s="31">
        <v>0.18194444444444444</v>
      </c>
      <c r="E283" s="31">
        <v>0.79166666666666663</v>
      </c>
      <c r="F283" s="31">
        <v>0.20555555555555557</v>
      </c>
      <c r="G283" s="31">
        <v>0.76874999999999993</v>
      </c>
      <c r="H283" s="31">
        <v>0.22847222222222222</v>
      </c>
      <c r="I283" s="31">
        <v>0.74583333333333324</v>
      </c>
      <c r="J283" s="31">
        <v>0.48749999999999999</v>
      </c>
      <c r="K283" s="30">
        <f>((K309-K278)/31)+K282</f>
        <v>68.774193548387117</v>
      </c>
      <c r="L283" s="30">
        <f>((L309-L278)/31)+L282</f>
        <v>50.387096774193559</v>
      </c>
      <c r="M283" s="90">
        <v>46.167741935483875</v>
      </c>
      <c r="N283" s="89">
        <f t="shared" si="49"/>
        <v>11.038709677419353</v>
      </c>
      <c r="O283" s="106">
        <f t="shared" si="50"/>
        <v>36.645161290322598</v>
      </c>
      <c r="P283" s="108">
        <v>30.548387096774199</v>
      </c>
      <c r="Q283" s="108">
        <v>10</v>
      </c>
      <c r="R283" s="107">
        <v>25.677419354838701</v>
      </c>
      <c r="S283" s="41" t="s">
        <v>435</v>
      </c>
      <c r="T283" s="34" t="s">
        <v>435</v>
      </c>
      <c r="U283" s="33"/>
      <c r="V283" s="43"/>
      <c r="W283" s="47"/>
      <c r="X283" s="47"/>
      <c r="AC283" s="88"/>
    </row>
    <row r="284" spans="1:29" ht="15.95" customHeight="1" x14ac:dyDescent="0.25">
      <c r="A284" s="29" t="s">
        <v>321</v>
      </c>
      <c r="B284" s="31">
        <v>0.24930555555555556</v>
      </c>
      <c r="C284" s="31">
        <v>0.72430555555555554</v>
      </c>
      <c r="D284" s="31">
        <v>0.18333333333333335</v>
      </c>
      <c r="E284" s="31">
        <v>0.7909722222222223</v>
      </c>
      <c r="F284" s="31">
        <v>0.20625000000000002</v>
      </c>
      <c r="G284" s="31">
        <v>0.76736111111111116</v>
      </c>
      <c r="H284" s="31">
        <v>0.22916666666666666</v>
      </c>
      <c r="I284" s="31">
        <v>0.74444444444444446</v>
      </c>
      <c r="J284" s="31">
        <v>0.48749999999999999</v>
      </c>
      <c r="K284" s="30">
        <f>((K309-K278)/31)+K283</f>
        <v>68.129032258064541</v>
      </c>
      <c r="L284" s="30">
        <f>((L309-L278)/31)+L283</f>
        <v>50.06451612903227</v>
      </c>
      <c r="M284" s="90">
        <v>45.761290322580649</v>
      </c>
      <c r="N284" s="89">
        <f t="shared" si="49"/>
        <v>10.806451612903224</v>
      </c>
      <c r="O284" s="106">
        <f t="shared" si="50"/>
        <v>36.774193548387117</v>
      </c>
      <c r="P284" s="108">
        <v>30.258064516129039</v>
      </c>
      <c r="Q284" s="108">
        <v>10</v>
      </c>
      <c r="R284" s="107">
        <v>25.612903225806441</v>
      </c>
      <c r="S284" s="41" t="s">
        <v>435</v>
      </c>
      <c r="T284" s="34" t="s">
        <v>435</v>
      </c>
      <c r="U284" s="33"/>
      <c r="V284" s="43"/>
      <c r="W284" s="47"/>
      <c r="X284" s="47"/>
      <c r="AC284" s="88"/>
    </row>
    <row r="285" spans="1:29" ht="15.95" customHeight="1" x14ac:dyDescent="0.25">
      <c r="A285" s="29" t="s">
        <v>322</v>
      </c>
      <c r="B285" s="31">
        <v>0.25</v>
      </c>
      <c r="C285" s="31">
        <v>0.72361111111111109</v>
      </c>
      <c r="D285" s="31">
        <v>0.18402777777777779</v>
      </c>
      <c r="E285" s="31">
        <v>0.7895833333333333</v>
      </c>
      <c r="F285" s="31">
        <v>0.20694444444444446</v>
      </c>
      <c r="G285" s="31">
        <v>0.76597222222222217</v>
      </c>
      <c r="H285" s="31">
        <v>0.23055555555555554</v>
      </c>
      <c r="I285" s="31">
        <v>0.74305555555555547</v>
      </c>
      <c r="J285" s="31">
        <v>0.48680555555555555</v>
      </c>
      <c r="K285" s="30">
        <f>((K309-K278)/31)+K284</f>
        <v>67.483870967741964</v>
      </c>
      <c r="L285" s="30">
        <f>((L309-L278)/31)+L284</f>
        <v>49.741935483870982</v>
      </c>
      <c r="M285" s="90">
        <v>45.354838709677423</v>
      </c>
      <c r="N285" s="89">
        <f t="shared" si="49"/>
        <v>10.574193548387095</v>
      </c>
      <c r="O285" s="106">
        <f t="shared" si="50"/>
        <v>36.903225806451637</v>
      </c>
      <c r="P285" s="108">
        <v>29.967741935483879</v>
      </c>
      <c r="Q285" s="108">
        <v>10</v>
      </c>
      <c r="R285" s="107">
        <v>25.548387096774182</v>
      </c>
      <c r="S285" s="41" t="s">
        <v>435</v>
      </c>
      <c r="T285" s="34" t="s">
        <v>435</v>
      </c>
      <c r="U285" s="33"/>
      <c r="V285" s="43"/>
      <c r="W285" s="47"/>
      <c r="X285" s="47"/>
      <c r="AC285" s="88"/>
    </row>
    <row r="286" spans="1:29" ht="15.95" customHeight="1" x14ac:dyDescent="0.25">
      <c r="A286" s="29" t="s">
        <v>323</v>
      </c>
      <c r="B286" s="31">
        <v>0.25138888888888888</v>
      </c>
      <c r="C286" s="31">
        <v>0.72222222222222221</v>
      </c>
      <c r="D286" s="31">
        <v>0.18472222222222223</v>
      </c>
      <c r="E286" s="31">
        <v>0.78819444444444453</v>
      </c>
      <c r="F286" s="31">
        <v>0.20833333333333334</v>
      </c>
      <c r="G286" s="31">
        <v>0.76527777777777783</v>
      </c>
      <c r="H286" s="31">
        <v>0.23124999999999998</v>
      </c>
      <c r="I286" s="31">
        <v>0.74236111111111114</v>
      </c>
      <c r="J286" s="31">
        <v>0.48680555555555555</v>
      </c>
      <c r="K286" s="30">
        <f>((K309-K278)/31)+K285</f>
        <v>66.838709677419388</v>
      </c>
      <c r="L286" s="30">
        <f>((L309-L278)/31)+L285</f>
        <v>49.419354838709694</v>
      </c>
      <c r="M286" s="90">
        <v>44.948387096774198</v>
      </c>
      <c r="N286" s="89">
        <f t="shared" si="49"/>
        <v>10.341935483870966</v>
      </c>
      <c r="O286" s="106">
        <f t="shared" si="50"/>
        <v>37.032258064516157</v>
      </c>
      <c r="P286" s="108">
        <v>29.677419354838719</v>
      </c>
      <c r="Q286" s="108">
        <v>10</v>
      </c>
      <c r="R286" s="107">
        <v>25.483870967741922</v>
      </c>
      <c r="S286" s="41" t="s">
        <v>435</v>
      </c>
      <c r="T286" s="34" t="s">
        <v>435</v>
      </c>
      <c r="U286" s="33"/>
      <c r="V286" s="43"/>
      <c r="W286" s="47"/>
      <c r="X286" s="47"/>
      <c r="AC286" s="88"/>
    </row>
    <row r="287" spans="1:29" ht="15.95" customHeight="1" x14ac:dyDescent="0.25">
      <c r="A287" s="29" t="s">
        <v>324</v>
      </c>
      <c r="B287" s="31">
        <v>0.25208333333333333</v>
      </c>
      <c r="C287" s="31">
        <v>0.72083333333333333</v>
      </c>
      <c r="D287" s="31">
        <v>0.18541666666666667</v>
      </c>
      <c r="E287" s="31">
        <v>0.78680555555555554</v>
      </c>
      <c r="F287" s="31">
        <v>0.20902777777777778</v>
      </c>
      <c r="G287" s="31">
        <v>0.76388888888888884</v>
      </c>
      <c r="H287" s="31">
        <v>0.23194444444444443</v>
      </c>
      <c r="I287" s="31">
        <v>0.74097222222222225</v>
      </c>
      <c r="J287" s="31">
        <v>0.48680555555555555</v>
      </c>
      <c r="K287" s="30">
        <f>((K309-K278)/31)+K286</f>
        <v>66.193548387096811</v>
      </c>
      <c r="L287" s="30">
        <f>((L309-L278)/31)+L286</f>
        <v>49.096774193548406</v>
      </c>
      <c r="M287" s="90">
        <v>44.541935483870972</v>
      </c>
      <c r="N287" s="89">
        <f t="shared" si="49"/>
        <v>10.109677419354837</v>
      </c>
      <c r="O287" s="106">
        <f t="shared" si="50"/>
        <v>37.161290322580676</v>
      </c>
      <c r="P287" s="108">
        <v>29.387096774193559</v>
      </c>
      <c r="Q287" s="108">
        <v>10</v>
      </c>
      <c r="R287" s="107">
        <v>25.419354838709662</v>
      </c>
      <c r="S287" s="41" t="s">
        <v>435</v>
      </c>
      <c r="T287" s="34" t="s">
        <v>435</v>
      </c>
      <c r="U287" s="33"/>
      <c r="V287" s="43"/>
      <c r="W287" s="47"/>
      <c r="X287" s="47"/>
      <c r="AC287" s="88"/>
    </row>
    <row r="288" spans="1:29" ht="15.95" customHeight="1" x14ac:dyDescent="0.25">
      <c r="A288" s="29" t="s">
        <v>325</v>
      </c>
      <c r="B288" s="31">
        <v>0.25277777777777777</v>
      </c>
      <c r="C288" s="31">
        <v>0.71944444444444444</v>
      </c>
      <c r="D288" s="31">
        <v>0.18611111111111112</v>
      </c>
      <c r="E288" s="31">
        <v>0.78611111111111109</v>
      </c>
      <c r="F288" s="31">
        <v>0.20972222222222223</v>
      </c>
      <c r="G288" s="31">
        <v>0.76250000000000007</v>
      </c>
      <c r="H288" s="31">
        <v>0.23263888888888887</v>
      </c>
      <c r="I288" s="31">
        <v>0.73958333333333337</v>
      </c>
      <c r="J288" s="31">
        <v>0.48680555555555555</v>
      </c>
      <c r="K288" s="30">
        <f>((K309-K278)/31)+K287</f>
        <v>65.548387096774235</v>
      </c>
      <c r="L288" s="30">
        <f>((L309-L278)/31)+L287</f>
        <v>48.774193548387117</v>
      </c>
      <c r="M288" s="90">
        <v>44.135483870967747</v>
      </c>
      <c r="N288" s="89">
        <f t="shared" si="49"/>
        <v>9.8774193548387075</v>
      </c>
      <c r="O288" s="106">
        <f t="shared" si="50"/>
        <v>37.290322580645196</v>
      </c>
      <c r="P288" s="108">
        <v>29.096774193548399</v>
      </c>
      <c r="Q288" s="108">
        <v>10</v>
      </c>
      <c r="R288" s="107">
        <v>25.354838709677402</v>
      </c>
      <c r="S288" s="41" t="s">
        <v>435</v>
      </c>
      <c r="T288" s="34" t="s">
        <v>435</v>
      </c>
      <c r="U288" s="33"/>
      <c r="V288" s="43"/>
      <c r="W288" s="47"/>
      <c r="X288" s="47"/>
      <c r="AC288" s="88"/>
    </row>
    <row r="289" spans="1:29" ht="15.95" customHeight="1" x14ac:dyDescent="0.25">
      <c r="A289" s="29" t="s">
        <v>326</v>
      </c>
      <c r="B289" s="31">
        <v>0.25347222222222221</v>
      </c>
      <c r="C289" s="31">
        <v>0.71875</v>
      </c>
      <c r="D289" s="31">
        <v>0.1875</v>
      </c>
      <c r="E289" s="31">
        <v>0.78472222222222221</v>
      </c>
      <c r="F289" s="31">
        <v>0.21041666666666667</v>
      </c>
      <c r="G289" s="31">
        <v>0.76180555555555562</v>
      </c>
      <c r="H289" s="31">
        <v>0.23333333333333331</v>
      </c>
      <c r="I289" s="31">
        <v>0.73819444444444438</v>
      </c>
      <c r="J289" s="31">
        <v>0.4861111111111111</v>
      </c>
      <c r="K289" s="30">
        <f>((K309-K278)/31)+K288</f>
        <v>64.903225806451658</v>
      </c>
      <c r="L289" s="30">
        <f>((L309-L278)/31)+L288</f>
        <v>48.451612903225829</v>
      </c>
      <c r="M289" s="90">
        <v>43.729032258064521</v>
      </c>
      <c r="N289" s="89">
        <f t="shared" si="49"/>
        <v>9.6451612903225783</v>
      </c>
      <c r="O289" s="106">
        <f t="shared" si="50"/>
        <v>37.419354838709715</v>
      </c>
      <c r="P289" s="108">
        <v>28.806451612903238</v>
      </c>
      <c r="Q289" s="108">
        <v>10</v>
      </c>
      <c r="R289" s="107">
        <v>25.290322580645142</v>
      </c>
      <c r="S289" s="41" t="s">
        <v>435</v>
      </c>
      <c r="T289" s="34" t="s">
        <v>435</v>
      </c>
      <c r="U289" s="33"/>
      <c r="V289" s="43"/>
      <c r="W289" s="47"/>
      <c r="X289" s="47"/>
      <c r="AC289" s="88"/>
    </row>
    <row r="290" spans="1:29" ht="15.95" customHeight="1" x14ac:dyDescent="0.25">
      <c r="A290" s="29" t="s">
        <v>327</v>
      </c>
      <c r="B290" s="31">
        <v>0.25416666666666665</v>
      </c>
      <c r="C290" s="31">
        <v>0.71736111111111101</v>
      </c>
      <c r="D290" s="31">
        <v>0.18819444444444444</v>
      </c>
      <c r="E290" s="31">
        <v>0.78333333333333333</v>
      </c>
      <c r="F290" s="31">
        <v>0.21111111111111111</v>
      </c>
      <c r="G290" s="31">
        <v>0.76041666666666663</v>
      </c>
      <c r="H290" s="31">
        <v>0.23472222222222219</v>
      </c>
      <c r="I290" s="31">
        <v>0.73749999999999993</v>
      </c>
      <c r="J290" s="31">
        <v>0.4861111111111111</v>
      </c>
      <c r="K290" s="30">
        <f>((K309-K278)/31)+K289</f>
        <v>64.258064516129082</v>
      </c>
      <c r="L290" s="30">
        <f>((L309-L278)/31)+L289</f>
        <v>48.129032258064541</v>
      </c>
      <c r="M290" s="90">
        <v>43.322580645161295</v>
      </c>
      <c r="N290" s="89">
        <f t="shared" si="49"/>
        <v>9.4129032258064491</v>
      </c>
      <c r="O290" s="106">
        <f t="shared" si="50"/>
        <v>37.548387096774235</v>
      </c>
      <c r="P290" s="108">
        <v>28.516129032258078</v>
      </c>
      <c r="Q290" s="108">
        <v>10</v>
      </c>
      <c r="R290" s="107">
        <v>25.225806451612883</v>
      </c>
      <c r="S290" s="41" t="s">
        <v>435</v>
      </c>
      <c r="T290" s="34" t="s">
        <v>435</v>
      </c>
      <c r="U290" s="33"/>
      <c r="V290" s="43"/>
      <c r="W290" s="47"/>
      <c r="X290" s="47"/>
      <c r="AC290" s="88"/>
    </row>
    <row r="291" spans="1:29" ht="15.95" customHeight="1" x14ac:dyDescent="0.25">
      <c r="A291" s="29" t="s">
        <v>328</v>
      </c>
      <c r="B291" s="31">
        <v>0.25555555555555559</v>
      </c>
      <c r="C291" s="31">
        <v>0.71597222222222223</v>
      </c>
      <c r="D291" s="31">
        <v>0.18888888888888888</v>
      </c>
      <c r="E291" s="31">
        <v>0.78263888888888899</v>
      </c>
      <c r="F291" s="31">
        <v>0.21180555555555555</v>
      </c>
      <c r="G291" s="31">
        <v>0.75902777777777775</v>
      </c>
      <c r="H291" s="31">
        <v>0.23541666666666669</v>
      </c>
      <c r="I291" s="31">
        <v>0.73611111111111116</v>
      </c>
      <c r="J291" s="31">
        <v>0.4861111111111111</v>
      </c>
      <c r="K291" s="30">
        <f>((K309-K278)/31)+K290</f>
        <v>63.612903225806498</v>
      </c>
      <c r="L291" s="30">
        <f>((L309-L278)/31)+L290</f>
        <v>47.806451612903253</v>
      </c>
      <c r="M291" s="90">
        <v>42.91612903225807</v>
      </c>
      <c r="N291" s="89">
        <f t="shared" si="49"/>
        <v>9.1806451612903199</v>
      </c>
      <c r="O291" s="106">
        <f t="shared" si="50"/>
        <v>37.677419354838754</v>
      </c>
      <c r="P291" s="108">
        <v>28.225806451612918</v>
      </c>
      <c r="Q291" s="108">
        <v>10</v>
      </c>
      <c r="R291" s="107">
        <v>25.161290322580623</v>
      </c>
      <c r="S291" s="41" t="s">
        <v>435</v>
      </c>
      <c r="T291" s="34" t="s">
        <v>435</v>
      </c>
      <c r="U291" s="33"/>
      <c r="V291" s="43"/>
      <c r="W291" s="47"/>
      <c r="X291" s="47"/>
      <c r="AC291" s="88"/>
    </row>
    <row r="292" spans="1:29" ht="15.95" customHeight="1" x14ac:dyDescent="0.25">
      <c r="A292" s="29" t="s">
        <v>329</v>
      </c>
      <c r="B292" s="31">
        <v>0.25625000000000003</v>
      </c>
      <c r="C292" s="31">
        <v>0.71527777777777779</v>
      </c>
      <c r="D292" s="31">
        <v>0.18958333333333333</v>
      </c>
      <c r="E292" s="31">
        <v>0.78125</v>
      </c>
      <c r="F292" s="31">
        <v>0.21319444444444444</v>
      </c>
      <c r="G292" s="31">
        <v>0.7583333333333333</v>
      </c>
      <c r="H292" s="31">
        <v>0.23611111111111113</v>
      </c>
      <c r="I292" s="31">
        <v>0.73541666666666661</v>
      </c>
      <c r="J292" s="31">
        <v>0.4861111111111111</v>
      </c>
      <c r="K292" s="30">
        <f>((K309-K278)/31)+K291</f>
        <v>62.967741935483915</v>
      </c>
      <c r="L292" s="30">
        <f>((L309-L278)/31)+L291</f>
        <v>47.483870967741964</v>
      </c>
      <c r="M292" s="90">
        <v>42.509677419354844</v>
      </c>
      <c r="N292" s="89">
        <f t="shared" si="49"/>
        <v>8.9483870967741908</v>
      </c>
      <c r="O292" s="106">
        <f t="shared" si="50"/>
        <v>37.806451612903274</v>
      </c>
      <c r="P292" s="108">
        <v>27.935483870967758</v>
      </c>
      <c r="Q292" s="108">
        <v>10</v>
      </c>
      <c r="R292" s="107">
        <v>25.096774193548363</v>
      </c>
      <c r="S292" s="41" t="s">
        <v>435</v>
      </c>
      <c r="T292" s="34" t="s">
        <v>435</v>
      </c>
      <c r="U292" s="33"/>
      <c r="V292" s="43"/>
      <c r="W292" s="47"/>
      <c r="X292" s="47"/>
      <c r="AC292" s="88"/>
    </row>
    <row r="293" spans="1:29" ht="15.95" customHeight="1" x14ac:dyDescent="0.25">
      <c r="A293" s="29" t="s">
        <v>330</v>
      </c>
      <c r="B293" s="31">
        <v>0.25694444444444448</v>
      </c>
      <c r="C293" s="31">
        <v>0.71388888888888891</v>
      </c>
      <c r="D293" s="31">
        <v>0.19097222222222221</v>
      </c>
      <c r="E293" s="31">
        <v>0.77986111111111101</v>
      </c>
      <c r="F293" s="31">
        <v>0.21388888888888891</v>
      </c>
      <c r="G293" s="31">
        <v>0.75694444444444453</v>
      </c>
      <c r="H293" s="31">
        <v>0.23680555555555557</v>
      </c>
      <c r="I293" s="31">
        <v>0.73402777777777783</v>
      </c>
      <c r="J293" s="31">
        <v>0.48541666666666666</v>
      </c>
      <c r="K293" s="30">
        <f>((K309-K278)/31)+K292</f>
        <v>62.322580645161331</v>
      </c>
      <c r="L293" s="30">
        <f>((L309-L278)/31)+L292</f>
        <v>47.161290322580676</v>
      </c>
      <c r="M293" s="90">
        <v>42.103225806451618</v>
      </c>
      <c r="N293" s="89">
        <f t="shared" si="49"/>
        <v>8.7161290322580616</v>
      </c>
      <c r="O293" s="106">
        <f t="shared" si="50"/>
        <v>37.935483870967794</v>
      </c>
      <c r="P293" s="108">
        <v>27.645161290322598</v>
      </c>
      <c r="Q293" s="108">
        <v>10</v>
      </c>
      <c r="R293" s="107">
        <v>25.032258064516103</v>
      </c>
      <c r="S293" s="41" t="s">
        <v>435</v>
      </c>
      <c r="T293" s="34" t="s">
        <v>435</v>
      </c>
      <c r="U293" s="33"/>
      <c r="V293" s="43"/>
      <c r="W293" s="47"/>
      <c r="X293" s="47"/>
      <c r="AC293" s="88"/>
    </row>
    <row r="294" spans="1:29" ht="15.95" customHeight="1" x14ac:dyDescent="0.25">
      <c r="A294" s="29" t="s">
        <v>331</v>
      </c>
      <c r="B294" s="31">
        <v>0.25763888888888892</v>
      </c>
      <c r="C294" s="31">
        <v>0.71250000000000002</v>
      </c>
      <c r="D294" s="31">
        <v>0.19166666666666665</v>
      </c>
      <c r="E294" s="31">
        <v>0.77916666666666667</v>
      </c>
      <c r="F294" s="31">
        <v>0.21458333333333335</v>
      </c>
      <c r="G294" s="31">
        <v>0.75624999999999998</v>
      </c>
      <c r="H294" s="31">
        <v>0.23750000000000002</v>
      </c>
      <c r="I294" s="31">
        <v>0.73263888888888884</v>
      </c>
      <c r="J294" s="31">
        <v>0.48541666666666666</v>
      </c>
      <c r="K294" s="30">
        <f>((K309-K278)/31)+K293</f>
        <v>61.677419354838747</v>
      </c>
      <c r="L294" s="30">
        <f>((L309-L278)/31)+L293</f>
        <v>46.838709677419388</v>
      </c>
      <c r="M294" s="90">
        <v>41.696774193548393</v>
      </c>
      <c r="N294" s="89">
        <f t="shared" si="49"/>
        <v>8.4838709677419324</v>
      </c>
      <c r="O294" s="106">
        <f t="shared" si="50"/>
        <v>38.064516129032313</v>
      </c>
      <c r="P294" s="108">
        <v>27.354838709677438</v>
      </c>
      <c r="Q294" s="108">
        <v>10</v>
      </c>
      <c r="R294" s="107">
        <v>24.967741935483843</v>
      </c>
      <c r="S294" s="41" t="s">
        <v>435</v>
      </c>
      <c r="T294" s="34" t="s">
        <v>435</v>
      </c>
      <c r="U294" s="33"/>
      <c r="V294" s="43"/>
      <c r="W294" s="47"/>
      <c r="X294" s="47"/>
      <c r="AC294" s="88"/>
    </row>
    <row r="295" spans="1:29" ht="15.95" customHeight="1" x14ac:dyDescent="0.25">
      <c r="A295" s="29" t="s">
        <v>332</v>
      </c>
      <c r="B295" s="31">
        <v>0.2590277777777778</v>
      </c>
      <c r="C295" s="31">
        <v>0.71180555555555547</v>
      </c>
      <c r="D295" s="31">
        <v>0.19236111111111112</v>
      </c>
      <c r="E295" s="31">
        <v>0.77777777777777779</v>
      </c>
      <c r="F295" s="31">
        <v>0.21527777777777779</v>
      </c>
      <c r="G295" s="31">
        <v>0.75486111111111109</v>
      </c>
      <c r="H295" s="31">
        <v>0.2388888888888889</v>
      </c>
      <c r="I295" s="31">
        <v>0.7319444444444444</v>
      </c>
      <c r="J295" s="31">
        <v>0.48541666666666666</v>
      </c>
      <c r="K295" s="30">
        <f>((K309-K278)/31)+K294</f>
        <v>61.032258064516164</v>
      </c>
      <c r="L295" s="30">
        <f>((L309-L278)/31)+L294</f>
        <v>46.5161290322581</v>
      </c>
      <c r="M295" s="90">
        <v>41.290322580645167</v>
      </c>
      <c r="N295" s="89">
        <f t="shared" si="49"/>
        <v>8.2516129032258032</v>
      </c>
      <c r="O295" s="106">
        <f t="shared" si="50"/>
        <v>38.193548387096833</v>
      </c>
      <c r="P295" s="108">
        <v>27.064516129032278</v>
      </c>
      <c r="Q295" s="108">
        <v>10</v>
      </c>
      <c r="R295" s="107">
        <v>24.903225806451584</v>
      </c>
      <c r="S295" s="41" t="s">
        <v>435</v>
      </c>
      <c r="T295" s="34" t="s">
        <v>435</v>
      </c>
      <c r="U295" s="33"/>
      <c r="V295" s="43"/>
      <c r="W295" s="47"/>
      <c r="X295" s="47"/>
      <c r="AC295" s="88"/>
    </row>
    <row r="296" spans="1:29" ht="15.95" customHeight="1" x14ac:dyDescent="0.25">
      <c r="A296" s="29" t="s">
        <v>333</v>
      </c>
      <c r="B296" s="31">
        <v>0.25972222222222224</v>
      </c>
      <c r="C296" s="31">
        <v>0.7104166666666667</v>
      </c>
      <c r="D296" s="31">
        <v>0.19305555555555554</v>
      </c>
      <c r="E296" s="31">
        <v>0.77708333333333324</v>
      </c>
      <c r="F296" s="31">
        <v>0.21597222222222223</v>
      </c>
      <c r="G296" s="31">
        <v>0.75416666666666676</v>
      </c>
      <c r="H296" s="31">
        <v>0.23958333333333334</v>
      </c>
      <c r="I296" s="31">
        <v>0.73055555555555562</v>
      </c>
      <c r="J296" s="31">
        <v>0.48541666666666666</v>
      </c>
      <c r="K296" s="30">
        <f>((K309-K278)/31)+K295</f>
        <v>60.38709677419358</v>
      </c>
      <c r="L296" s="30">
        <f>((L309-L278)/31)+L295</f>
        <v>46.193548387096811</v>
      </c>
      <c r="M296" s="90">
        <v>40.883870967741942</v>
      </c>
      <c r="N296" s="89">
        <f t="shared" si="49"/>
        <v>8.019354838709674</v>
      </c>
      <c r="O296" s="106">
        <f t="shared" si="50"/>
        <v>38.322580645161352</v>
      </c>
      <c r="P296" s="108">
        <v>26.774193548387117</v>
      </c>
      <c r="Q296" s="108">
        <v>10</v>
      </c>
      <c r="R296" s="107">
        <v>24.838709677419324</v>
      </c>
      <c r="S296" s="41" t="s">
        <v>435</v>
      </c>
      <c r="T296" s="34" t="s">
        <v>435</v>
      </c>
      <c r="U296" s="33"/>
      <c r="V296" s="43"/>
      <c r="W296" s="47"/>
      <c r="X296" s="47"/>
      <c r="AC296" s="88"/>
    </row>
    <row r="297" spans="1:29" ht="15.95" customHeight="1" x14ac:dyDescent="0.25">
      <c r="A297" s="29" t="s">
        <v>334</v>
      </c>
      <c r="B297" s="31">
        <v>0.26041666666666669</v>
      </c>
      <c r="C297" s="31">
        <v>0.7090277777777777</v>
      </c>
      <c r="D297" s="31">
        <v>0.19375000000000001</v>
      </c>
      <c r="E297" s="31">
        <v>0.77569444444444446</v>
      </c>
      <c r="F297" s="31">
        <v>0.21736111111111112</v>
      </c>
      <c r="G297" s="31">
        <v>0.75277777777777777</v>
      </c>
      <c r="H297" s="31">
        <v>0.24027777777777778</v>
      </c>
      <c r="I297" s="31">
        <v>0.72986111111111107</v>
      </c>
      <c r="J297" s="31">
        <v>0.48541666666666666</v>
      </c>
      <c r="K297" s="30">
        <f>((K309-K278)/31)+K296</f>
        <v>59.741935483870996</v>
      </c>
      <c r="L297" s="30">
        <f>((L309-L278)/31)+L296</f>
        <v>45.870967741935523</v>
      </c>
      <c r="M297" s="90">
        <v>40.477419354838716</v>
      </c>
      <c r="N297" s="89">
        <f t="shared" si="49"/>
        <v>7.7870967741935448</v>
      </c>
      <c r="O297" s="106">
        <f t="shared" si="50"/>
        <v>38.451612903225872</v>
      </c>
      <c r="P297" s="108">
        <v>26.483870967741957</v>
      </c>
      <c r="Q297" s="108">
        <v>10</v>
      </c>
      <c r="R297" s="107">
        <v>24.774193548387064</v>
      </c>
      <c r="S297" s="41" t="s">
        <v>435</v>
      </c>
      <c r="T297" s="34" t="s">
        <v>435</v>
      </c>
      <c r="U297" s="33"/>
      <c r="V297" s="43"/>
      <c r="W297" s="47"/>
      <c r="X297" s="47"/>
      <c r="AC297" s="88"/>
    </row>
    <row r="298" spans="1:29" ht="15.95" customHeight="1" x14ac:dyDescent="0.25">
      <c r="A298" s="29" t="s">
        <v>335</v>
      </c>
      <c r="B298" s="31">
        <v>0.26180555555555557</v>
      </c>
      <c r="C298" s="31">
        <v>0.70833333333333337</v>
      </c>
      <c r="D298" s="31">
        <v>0.19444444444444445</v>
      </c>
      <c r="E298" s="31">
        <v>0.77500000000000002</v>
      </c>
      <c r="F298" s="31">
        <v>0.21805555555555556</v>
      </c>
      <c r="G298" s="31">
        <v>0.75208333333333333</v>
      </c>
      <c r="H298" s="31">
        <v>0.24097222222222223</v>
      </c>
      <c r="I298" s="31">
        <v>0.7284722222222223</v>
      </c>
      <c r="J298" s="31">
        <v>0.48541666666666666</v>
      </c>
      <c r="K298" s="30">
        <f>((K309-K278)/31)+K297</f>
        <v>59.096774193548413</v>
      </c>
      <c r="L298" s="30">
        <f>((L309-L278)/31)+L297</f>
        <v>45.548387096774235</v>
      </c>
      <c r="M298" s="90">
        <v>40.07096774193549</v>
      </c>
      <c r="N298" s="89">
        <f t="shared" si="49"/>
        <v>7.5548387096774157</v>
      </c>
      <c r="O298" s="106">
        <f t="shared" si="50"/>
        <v>38.580645161290391</v>
      </c>
      <c r="P298" s="108">
        <v>26.193548387096797</v>
      </c>
      <c r="Q298" s="108">
        <v>10</v>
      </c>
      <c r="R298" s="107">
        <v>24.709677419354804</v>
      </c>
      <c r="S298" s="41" t="s">
        <v>435</v>
      </c>
      <c r="T298" s="34" t="s">
        <v>435</v>
      </c>
      <c r="U298" s="33"/>
      <c r="V298" s="43"/>
      <c r="W298" s="47"/>
      <c r="X298" s="47"/>
      <c r="AC298" s="88"/>
    </row>
    <row r="299" spans="1:29" ht="15.95" customHeight="1" x14ac:dyDescent="0.25">
      <c r="A299" s="29" t="s">
        <v>336</v>
      </c>
      <c r="B299" s="31">
        <v>0.26250000000000001</v>
      </c>
      <c r="C299" s="31">
        <v>0.70694444444444438</v>
      </c>
      <c r="D299" s="31">
        <v>0.19583333333333333</v>
      </c>
      <c r="E299" s="31">
        <v>0.77361111111111114</v>
      </c>
      <c r="F299" s="31">
        <v>0.21875</v>
      </c>
      <c r="G299" s="31">
        <v>0.75069444444444444</v>
      </c>
      <c r="H299" s="31">
        <v>0.24166666666666667</v>
      </c>
      <c r="I299" s="31">
        <v>0.72777777777777775</v>
      </c>
      <c r="J299" s="31">
        <v>0.48472222222222222</v>
      </c>
      <c r="K299" s="30">
        <f>((K309-K278)/31)+K298</f>
        <v>58.451612903225829</v>
      </c>
      <c r="L299" s="30">
        <f>((L309-L278)/31)+L298</f>
        <v>45.225806451612947</v>
      </c>
      <c r="M299" s="90">
        <v>39.664516129032265</v>
      </c>
      <c r="N299" s="89">
        <f t="shared" si="49"/>
        <v>7.3225806451612865</v>
      </c>
      <c r="O299" s="106">
        <f t="shared" si="50"/>
        <v>38.709677419354911</v>
      </c>
      <c r="P299" s="108">
        <v>25.903225806451637</v>
      </c>
      <c r="Q299" s="108">
        <v>10</v>
      </c>
      <c r="R299" s="107">
        <v>24.645161290322545</v>
      </c>
      <c r="S299" s="41" t="s">
        <v>435</v>
      </c>
      <c r="T299" s="34" t="s">
        <v>435</v>
      </c>
      <c r="U299" s="33"/>
      <c r="V299" s="43"/>
      <c r="W299" s="47"/>
      <c r="X299" s="47"/>
      <c r="AC299" s="88"/>
    </row>
    <row r="300" spans="1:29" ht="15.95" customHeight="1" x14ac:dyDescent="0.25">
      <c r="A300" s="29" t="s">
        <v>337</v>
      </c>
      <c r="B300" s="31">
        <v>0.26319444444444445</v>
      </c>
      <c r="C300" s="31">
        <v>0.70624999999999993</v>
      </c>
      <c r="D300" s="31">
        <v>0.19652777777777777</v>
      </c>
      <c r="E300" s="31">
        <v>0.7729166666666667</v>
      </c>
      <c r="F300" s="31">
        <v>0.21944444444444444</v>
      </c>
      <c r="G300" s="31">
        <v>0.75</v>
      </c>
      <c r="H300" s="31">
        <v>0.24305555555555555</v>
      </c>
      <c r="I300" s="31">
        <v>0.72638888888888886</v>
      </c>
      <c r="J300" s="31">
        <v>0.48472222222222222</v>
      </c>
      <c r="K300" s="30">
        <f>((K309-K278)/31)+K299</f>
        <v>57.806451612903246</v>
      </c>
      <c r="L300" s="30">
        <f>((L309-L278)/31)+L299</f>
        <v>44.903225806451658</v>
      </c>
      <c r="M300" s="90">
        <v>39.258064516129039</v>
      </c>
      <c r="N300" s="89">
        <f t="shared" si="49"/>
        <v>7.0903225806451573</v>
      </c>
      <c r="O300" s="106">
        <f t="shared" si="50"/>
        <v>38.83870967741943</v>
      </c>
      <c r="P300" s="108">
        <v>25.612903225806477</v>
      </c>
      <c r="Q300" s="108">
        <v>10</v>
      </c>
      <c r="R300" s="107">
        <v>24.580645161290285</v>
      </c>
      <c r="S300" s="41" t="s">
        <v>435</v>
      </c>
      <c r="T300" s="34" t="s">
        <v>435</v>
      </c>
      <c r="U300" s="33"/>
      <c r="V300" s="43"/>
      <c r="W300" s="47"/>
      <c r="X300" s="47"/>
      <c r="AC300" s="88"/>
    </row>
    <row r="301" spans="1:29" ht="15.95" customHeight="1" x14ac:dyDescent="0.25">
      <c r="A301" s="29" t="s">
        <v>338</v>
      </c>
      <c r="B301" s="31">
        <v>0.2638888888888889</v>
      </c>
      <c r="C301" s="31">
        <v>0.70486111111111116</v>
      </c>
      <c r="D301" s="31">
        <v>0.19722222222222222</v>
      </c>
      <c r="E301" s="31">
        <v>0.77222222222222225</v>
      </c>
      <c r="F301" s="31">
        <v>0.22013888888888888</v>
      </c>
      <c r="G301" s="31">
        <v>0.74861111111111101</v>
      </c>
      <c r="H301" s="31">
        <v>0.24374999999999999</v>
      </c>
      <c r="I301" s="31">
        <v>0.72569444444444453</v>
      </c>
      <c r="J301" s="31">
        <v>0.48472222222222222</v>
      </c>
      <c r="K301" s="30">
        <f>((K309-K278)/31)+K300</f>
        <v>57.161290322580662</v>
      </c>
      <c r="L301" s="30">
        <f>((L309-L278)/31)+L300</f>
        <v>44.58064516129037</v>
      </c>
      <c r="M301" s="90">
        <v>38.851612903225814</v>
      </c>
      <c r="N301" s="89">
        <f t="shared" si="49"/>
        <v>6.8580645161290281</v>
      </c>
      <c r="O301" s="106">
        <f t="shared" si="50"/>
        <v>38.96774193548395</v>
      </c>
      <c r="P301" s="108">
        <v>25.322580645161317</v>
      </c>
      <c r="Q301" s="108">
        <v>10</v>
      </c>
      <c r="R301" s="107">
        <v>24.516129032258025</v>
      </c>
      <c r="S301" s="41" t="s">
        <v>435</v>
      </c>
      <c r="T301" s="34" t="s">
        <v>435</v>
      </c>
      <c r="U301" s="33"/>
      <c r="V301" s="43"/>
      <c r="W301" s="47"/>
      <c r="X301" s="47"/>
      <c r="AC301" s="88"/>
    </row>
    <row r="302" spans="1:29" ht="15.95" customHeight="1" x14ac:dyDescent="0.25">
      <c r="A302" s="29" t="s">
        <v>339</v>
      </c>
      <c r="B302" s="31">
        <v>0.26527777777777778</v>
      </c>
      <c r="C302" s="31">
        <v>0.70416666666666661</v>
      </c>
      <c r="D302" s="31">
        <v>0.19791666666666666</v>
      </c>
      <c r="E302" s="31">
        <v>0.77083333333333337</v>
      </c>
      <c r="F302" s="31">
        <v>0.22152777777777777</v>
      </c>
      <c r="G302" s="31">
        <v>0.74791666666666667</v>
      </c>
      <c r="H302" s="31">
        <v>0.24444444444444446</v>
      </c>
      <c r="I302" s="31">
        <v>0.72430555555555554</v>
      </c>
      <c r="J302" s="31">
        <v>0.48472222222222222</v>
      </c>
      <c r="K302" s="30">
        <f>((K309-K278)/31)+K301</f>
        <v>56.516129032258078</v>
      </c>
      <c r="L302" s="30">
        <f>((L309-L278)/31)+L301</f>
        <v>44.258064516129082</v>
      </c>
      <c r="M302" s="90">
        <v>38.445161290322588</v>
      </c>
      <c r="N302" s="89">
        <f t="shared" si="49"/>
        <v>6.6258064516128989</v>
      </c>
      <c r="O302" s="106">
        <f t="shared" si="50"/>
        <v>39.09677419354847</v>
      </c>
      <c r="P302" s="108">
        <v>25.032258064516157</v>
      </c>
      <c r="Q302" s="108">
        <v>10</v>
      </c>
      <c r="R302" s="107">
        <v>24.451612903225765</v>
      </c>
      <c r="S302" s="41" t="s">
        <v>435</v>
      </c>
      <c r="T302" s="34" t="s">
        <v>435</v>
      </c>
      <c r="U302" s="33"/>
      <c r="V302" s="43"/>
      <c r="W302" s="47"/>
      <c r="X302" s="47"/>
      <c r="AC302" s="88"/>
    </row>
    <row r="303" spans="1:29" ht="15.95" customHeight="1" x14ac:dyDescent="0.25">
      <c r="A303" s="29" t="s">
        <v>340</v>
      </c>
      <c r="B303" s="31">
        <v>0.26597222222222222</v>
      </c>
      <c r="C303" s="31">
        <v>0.70277777777777783</v>
      </c>
      <c r="D303" s="31">
        <v>0.1986111111111111</v>
      </c>
      <c r="E303" s="31">
        <v>0.77013888888888893</v>
      </c>
      <c r="F303" s="31">
        <v>0.22222222222222221</v>
      </c>
      <c r="G303" s="31">
        <v>0.74722222222222223</v>
      </c>
      <c r="H303" s="31">
        <v>0.24513888888888888</v>
      </c>
      <c r="I303" s="31">
        <v>0.72361111111111109</v>
      </c>
      <c r="J303" s="31">
        <v>0.48472222222222222</v>
      </c>
      <c r="K303" s="30">
        <f>((K309-K278)/31)+K302</f>
        <v>55.870967741935495</v>
      </c>
      <c r="L303" s="30">
        <f>((L309-L278)/31)+L302</f>
        <v>43.935483870967794</v>
      </c>
      <c r="M303" s="90">
        <v>38.038709677419362</v>
      </c>
      <c r="N303" s="89">
        <f t="shared" si="49"/>
        <v>6.3935483870967698</v>
      </c>
      <c r="O303" s="106">
        <f t="shared" si="50"/>
        <v>39.225806451612989</v>
      </c>
      <c r="P303" s="108">
        <v>24.741935483870996</v>
      </c>
      <c r="Q303" s="108">
        <v>10</v>
      </c>
      <c r="R303" s="107">
        <v>24.387096774193505</v>
      </c>
      <c r="S303" s="41" t="s">
        <v>435</v>
      </c>
      <c r="T303" s="34" t="s">
        <v>435</v>
      </c>
      <c r="U303" s="33"/>
      <c r="V303" s="43"/>
      <c r="W303" s="47"/>
      <c r="X303" s="47"/>
      <c r="AC303" s="88"/>
    </row>
    <row r="304" spans="1:29" ht="15.95" customHeight="1" x14ac:dyDescent="0.25">
      <c r="A304" s="29" t="s">
        <v>341</v>
      </c>
      <c r="B304" s="31">
        <v>0.26666666666666666</v>
      </c>
      <c r="C304" s="31">
        <v>0.70208333333333339</v>
      </c>
      <c r="D304" s="31">
        <v>0.19999999999999998</v>
      </c>
      <c r="E304" s="31">
        <v>0.76874999999999993</v>
      </c>
      <c r="F304" s="31">
        <v>0.22291666666666665</v>
      </c>
      <c r="G304" s="31">
        <v>0.74583333333333324</v>
      </c>
      <c r="H304" s="31">
        <v>0.24652777777777779</v>
      </c>
      <c r="I304" s="31">
        <v>0.72222222222222221</v>
      </c>
      <c r="J304" s="31">
        <v>0.48472222222222222</v>
      </c>
      <c r="K304" s="30">
        <f>((K309-K278)/31)+K303</f>
        <v>55.225806451612911</v>
      </c>
      <c r="L304" s="30">
        <f>((L309-L278)/31)+L303</f>
        <v>43.612903225806505</v>
      </c>
      <c r="M304" s="90">
        <v>37.632258064516137</v>
      </c>
      <c r="N304" s="89">
        <f t="shared" si="49"/>
        <v>6.1612903225806406</v>
      </c>
      <c r="O304" s="106">
        <f t="shared" si="50"/>
        <v>39.354838709677509</v>
      </c>
      <c r="P304" s="108">
        <v>24.451612903225836</v>
      </c>
      <c r="Q304" s="108">
        <v>10</v>
      </c>
      <c r="R304" s="107">
        <v>24.322580645161246</v>
      </c>
      <c r="S304" s="41" t="s">
        <v>435</v>
      </c>
      <c r="T304" s="34" t="s">
        <v>435</v>
      </c>
      <c r="U304" s="33"/>
      <c r="V304" s="43"/>
      <c r="W304" s="47"/>
      <c r="X304" s="47"/>
      <c r="AC304" s="88"/>
    </row>
    <row r="305" spans="1:29" ht="15.95" customHeight="1" x14ac:dyDescent="0.25">
      <c r="A305" s="29" t="s">
        <v>342</v>
      </c>
      <c r="B305" s="31">
        <v>0.26805555555555555</v>
      </c>
      <c r="C305" s="31">
        <v>0.7006944444444444</v>
      </c>
      <c r="D305" s="31">
        <v>0.20069444444444443</v>
      </c>
      <c r="E305" s="31">
        <v>0.7680555555555556</v>
      </c>
      <c r="F305" s="31">
        <v>0.22361111111111109</v>
      </c>
      <c r="G305" s="31">
        <v>0.74513888888888891</v>
      </c>
      <c r="H305" s="31">
        <v>0.24722222222222223</v>
      </c>
      <c r="I305" s="31">
        <v>0.72152777777777777</v>
      </c>
      <c r="J305" s="31">
        <v>0.48472222222222222</v>
      </c>
      <c r="K305" s="30">
        <f>((K309-K278)/31)+K304</f>
        <v>54.580645161290327</v>
      </c>
      <c r="L305" s="30">
        <f>((L309-L278)/31)+L304</f>
        <v>43.290322580645217</v>
      </c>
      <c r="M305" s="90">
        <v>37.225806451612911</v>
      </c>
      <c r="N305" s="89">
        <f t="shared" si="49"/>
        <v>5.9290322580645114</v>
      </c>
      <c r="O305" s="106">
        <f t="shared" si="50"/>
        <v>39.483870967742028</v>
      </c>
      <c r="P305" s="108">
        <v>24.161290322580676</v>
      </c>
      <c r="Q305" s="108">
        <v>10</v>
      </c>
      <c r="R305" s="107">
        <v>24.258064516128986</v>
      </c>
      <c r="S305" s="41" t="s">
        <v>435</v>
      </c>
      <c r="T305" s="34" t="s">
        <v>435</v>
      </c>
      <c r="U305" s="33"/>
      <c r="V305" s="43"/>
      <c r="W305" s="47"/>
      <c r="X305" s="47"/>
      <c r="AC305" s="88"/>
    </row>
    <row r="306" spans="1:29" ht="15.95" customHeight="1" x14ac:dyDescent="0.25">
      <c r="A306" s="29" t="s">
        <v>343</v>
      </c>
      <c r="B306" s="31">
        <v>0.26874999999999999</v>
      </c>
      <c r="C306" s="31">
        <v>0.70000000000000007</v>
      </c>
      <c r="D306" s="31">
        <v>0.20138888888888887</v>
      </c>
      <c r="E306" s="31">
        <v>0.76736111111111116</v>
      </c>
      <c r="F306" s="31">
        <v>0.22430555555555556</v>
      </c>
      <c r="G306" s="31">
        <v>0.74444444444444446</v>
      </c>
      <c r="H306" s="31">
        <v>0.24791666666666667</v>
      </c>
      <c r="I306" s="31">
        <v>0.72083333333333333</v>
      </c>
      <c r="J306" s="31">
        <v>0.48472222222222222</v>
      </c>
      <c r="K306" s="30">
        <f>((K309-K278)/31)+K305</f>
        <v>53.935483870967744</v>
      </c>
      <c r="L306" s="30">
        <f>((L309-L278)/31)+L305</f>
        <v>42.967741935483929</v>
      </c>
      <c r="M306" s="90">
        <v>36.819354838709685</v>
      </c>
      <c r="N306" s="89">
        <f t="shared" si="49"/>
        <v>5.6967741935483822</v>
      </c>
      <c r="O306" s="106">
        <f t="shared" si="50"/>
        <v>39.612903225806548</v>
      </c>
      <c r="P306" s="108">
        <v>23.870967741935516</v>
      </c>
      <c r="Q306" s="108">
        <v>10</v>
      </c>
      <c r="R306" s="107">
        <v>24.193548387096726</v>
      </c>
      <c r="S306" s="41" t="s">
        <v>435</v>
      </c>
      <c r="T306" s="34" t="s">
        <v>435</v>
      </c>
      <c r="U306" s="33"/>
      <c r="V306" s="43"/>
      <c r="W306" s="47"/>
      <c r="X306" s="47"/>
      <c r="AC306" s="88"/>
    </row>
    <row r="307" spans="1:29" ht="15.95" customHeight="1" x14ac:dyDescent="0.25">
      <c r="A307" s="29" t="s">
        <v>344</v>
      </c>
      <c r="B307" s="31">
        <v>0.26944444444444443</v>
      </c>
      <c r="C307" s="31">
        <v>0.69930555555555562</v>
      </c>
      <c r="D307" s="31">
        <v>0.20208333333333331</v>
      </c>
      <c r="E307" s="31">
        <v>0.76666666666666661</v>
      </c>
      <c r="F307" s="31">
        <v>0.22500000000000001</v>
      </c>
      <c r="G307" s="31">
        <v>0.74305555555555547</v>
      </c>
      <c r="H307" s="31">
        <v>0.24861111111111112</v>
      </c>
      <c r="I307" s="31">
        <v>0.71944444444444444</v>
      </c>
      <c r="J307" s="31">
        <v>0.48472222222222222</v>
      </c>
      <c r="K307" s="30">
        <f>((K309-K278)/31)+K306</f>
        <v>53.29032258064516</v>
      </c>
      <c r="L307" s="30">
        <f>((L309-L278)/31)+L306</f>
        <v>42.64516129032264</v>
      </c>
      <c r="M307" s="90">
        <v>36.41290322580646</v>
      </c>
      <c r="N307" s="89">
        <f t="shared" si="49"/>
        <v>5.464516129032253</v>
      </c>
      <c r="O307" s="106">
        <f t="shared" si="50"/>
        <v>39.741935483871067</v>
      </c>
      <c r="P307" s="108">
        <v>23.580645161290356</v>
      </c>
      <c r="Q307" s="108">
        <v>10</v>
      </c>
      <c r="R307" s="107">
        <v>24.129032258064466</v>
      </c>
      <c r="S307" s="41" t="s">
        <v>435</v>
      </c>
      <c r="T307" s="34" t="s">
        <v>435</v>
      </c>
      <c r="U307" s="33"/>
      <c r="V307" s="43"/>
      <c r="W307" s="47"/>
      <c r="X307" s="47"/>
      <c r="AC307" s="88"/>
    </row>
    <row r="308" spans="1:29" ht="15.95" customHeight="1" x14ac:dyDescent="0.25">
      <c r="A308" s="29" t="s">
        <v>345</v>
      </c>
      <c r="B308" s="31">
        <v>0.27013888888888887</v>
      </c>
      <c r="C308" s="31">
        <v>0.69791666666666663</v>
      </c>
      <c r="D308" s="31">
        <v>0.20277777777777781</v>
      </c>
      <c r="E308" s="31">
        <v>0.76527777777777783</v>
      </c>
      <c r="F308" s="31">
        <v>0.22638888888888889</v>
      </c>
      <c r="G308" s="31">
        <v>0.74236111111111114</v>
      </c>
      <c r="H308" s="31">
        <v>0.25</v>
      </c>
      <c r="I308" s="31">
        <v>0.71875</v>
      </c>
      <c r="J308" s="31">
        <v>0.48472222222222222</v>
      </c>
      <c r="K308" s="30">
        <f>((K309-K278)/31)+K307</f>
        <v>52.645161290322577</v>
      </c>
      <c r="L308" s="30">
        <f>((L309-L278)/31)+L307</f>
        <v>42.322580645161352</v>
      </c>
      <c r="M308" s="90">
        <v>36.006451612903234</v>
      </c>
      <c r="N308" s="89">
        <f t="shared" si="49"/>
        <v>5.2322580645161239</v>
      </c>
      <c r="O308" s="106">
        <f t="shared" si="50"/>
        <v>39.870967741935587</v>
      </c>
      <c r="P308" s="108">
        <v>23.290322580645196</v>
      </c>
      <c r="Q308" s="108">
        <v>10</v>
      </c>
      <c r="R308" s="107">
        <v>24.064516129032206</v>
      </c>
      <c r="S308" s="41" t="s">
        <v>435</v>
      </c>
      <c r="T308" s="34" t="s">
        <v>435</v>
      </c>
      <c r="U308" s="33"/>
      <c r="V308" s="43"/>
      <c r="W308" s="47"/>
      <c r="X308" s="47"/>
      <c r="AC308" s="88"/>
    </row>
    <row r="309" spans="1:29" ht="15.95" customHeight="1" x14ac:dyDescent="0.25">
      <c r="A309" s="29" t="s">
        <v>346</v>
      </c>
      <c r="B309" s="31">
        <v>0.27152777777777776</v>
      </c>
      <c r="C309" s="31">
        <v>0.6972222222222223</v>
      </c>
      <c r="D309" s="31">
        <v>0.20347222222222219</v>
      </c>
      <c r="E309" s="31">
        <v>0.76458333333333339</v>
      </c>
      <c r="F309" s="31">
        <v>0.22708333333333333</v>
      </c>
      <c r="G309" s="31">
        <v>0.7416666666666667</v>
      </c>
      <c r="H309" s="31">
        <v>0.25069444444444444</v>
      </c>
      <c r="I309" s="31">
        <v>0.71805555555555556</v>
      </c>
      <c r="J309" s="31">
        <v>0.48472222222222222</v>
      </c>
      <c r="K309" s="30">
        <v>52</v>
      </c>
      <c r="L309" s="30">
        <v>42</v>
      </c>
      <c r="M309" s="90">
        <v>35.6</v>
      </c>
      <c r="N309" s="89">
        <v>5</v>
      </c>
      <c r="O309" s="106">
        <v>40</v>
      </c>
      <c r="P309" s="108">
        <v>23</v>
      </c>
      <c r="Q309" s="108">
        <v>10</v>
      </c>
      <c r="R309" s="107">
        <v>24</v>
      </c>
      <c r="S309" s="41" t="s">
        <v>435</v>
      </c>
      <c r="T309" s="34" t="s">
        <v>435</v>
      </c>
      <c r="U309" s="33"/>
      <c r="V309" s="43"/>
      <c r="W309" s="47"/>
      <c r="X309" s="47"/>
      <c r="AC309" s="30"/>
    </row>
    <row r="310" spans="1:29" ht="15.95" customHeight="1" x14ac:dyDescent="0.25">
      <c r="A310" s="29" t="s">
        <v>347</v>
      </c>
      <c r="B310" s="31">
        <v>0.2722222222222222</v>
      </c>
      <c r="C310" s="31">
        <v>0.69652777777777775</v>
      </c>
      <c r="D310" s="31">
        <v>0.20486111111111113</v>
      </c>
      <c r="E310" s="31">
        <v>0.76388888888888884</v>
      </c>
      <c r="F310" s="31">
        <v>0.22777777777777777</v>
      </c>
      <c r="G310" s="31">
        <v>0.74097222222222225</v>
      </c>
      <c r="H310" s="31">
        <v>0.25138888888888888</v>
      </c>
      <c r="I310" s="31">
        <v>0.71736111111111101</v>
      </c>
      <c r="J310" s="31">
        <v>0.48472222222222222</v>
      </c>
      <c r="K310" s="30">
        <f>((K339-K309)/30)+K309</f>
        <v>51.533333333333331</v>
      </c>
      <c r="L310" s="30">
        <f>((L339-L309)/30)+L309</f>
        <v>41.7</v>
      </c>
      <c r="M310" s="90">
        <v>35.300000000000004</v>
      </c>
      <c r="N310" s="89">
        <f>((($N$339-$N$309)/30)+N309)</f>
        <v>4.9233333333333338</v>
      </c>
      <c r="O310" s="106">
        <f>(($O$339-$O$309)/30)+O309</f>
        <v>40.1</v>
      </c>
      <c r="P310" s="108">
        <v>22.76</v>
      </c>
      <c r="Q310" s="108">
        <v>10</v>
      </c>
      <c r="R310" s="107">
        <v>23.966666666666665</v>
      </c>
      <c r="S310" s="41" t="s">
        <v>435</v>
      </c>
      <c r="T310" s="34" t="s">
        <v>435</v>
      </c>
      <c r="U310" s="33"/>
      <c r="V310" s="43"/>
      <c r="W310" s="47"/>
      <c r="X310" s="47"/>
      <c r="AC310" s="88"/>
    </row>
    <row r="311" spans="1:29" ht="15.95" customHeight="1" x14ac:dyDescent="0.25">
      <c r="A311" s="29" t="s">
        <v>348</v>
      </c>
      <c r="B311" s="31">
        <v>0.27291666666666664</v>
      </c>
      <c r="C311" s="31">
        <v>0.69513888888888886</v>
      </c>
      <c r="D311" s="31">
        <v>0.20555555555555557</v>
      </c>
      <c r="E311" s="31">
        <v>0.7631944444444444</v>
      </c>
      <c r="F311" s="31">
        <v>0.22847222222222222</v>
      </c>
      <c r="G311" s="31">
        <v>0.73958333333333337</v>
      </c>
      <c r="H311" s="31">
        <v>0.25208333333333333</v>
      </c>
      <c r="I311" s="31">
        <v>0.71597222222222223</v>
      </c>
      <c r="J311" s="31">
        <v>0.48472222222222222</v>
      </c>
      <c r="K311" s="30">
        <f>((K339-K309)/30)+K310</f>
        <v>51.066666666666663</v>
      </c>
      <c r="L311" s="30">
        <f>((L339-L309)/30)+L310</f>
        <v>41.400000000000006</v>
      </c>
      <c r="M311" s="90">
        <v>35.000000000000007</v>
      </c>
      <c r="N311" s="89">
        <f t="shared" ref="N311:N338" si="51">((($N$339-$N$309)/30)+N310)</f>
        <v>4.8466666666666676</v>
      </c>
      <c r="O311" s="106">
        <f t="shared" ref="O311:O338" si="52">(($O$339-$O$309)/30)+O310</f>
        <v>40.200000000000003</v>
      </c>
      <c r="P311" s="108">
        <v>22.520000000000003</v>
      </c>
      <c r="Q311" s="108">
        <v>10</v>
      </c>
      <c r="R311" s="107">
        <v>23.93333333333333</v>
      </c>
      <c r="S311" s="41" t="s">
        <v>435</v>
      </c>
      <c r="T311" s="34" t="s">
        <v>435</v>
      </c>
      <c r="U311" s="33"/>
      <c r="V311" s="43"/>
      <c r="W311" s="47"/>
      <c r="X311" s="47"/>
      <c r="AC311" s="88"/>
    </row>
    <row r="312" spans="1:29" ht="15.95" customHeight="1" x14ac:dyDescent="0.25">
      <c r="A312" s="29" t="s">
        <v>349</v>
      </c>
      <c r="B312" s="31">
        <v>0.27430555555555552</v>
      </c>
      <c r="C312" s="31">
        <v>0.69444444444444453</v>
      </c>
      <c r="D312" s="31">
        <v>0.20625000000000002</v>
      </c>
      <c r="E312" s="31">
        <v>0.76250000000000007</v>
      </c>
      <c r="F312" s="31">
        <v>0.22916666666666666</v>
      </c>
      <c r="G312" s="31">
        <v>0.73888888888888893</v>
      </c>
      <c r="H312" s="31">
        <v>0.25347222222222221</v>
      </c>
      <c r="I312" s="31">
        <v>0.71527777777777779</v>
      </c>
      <c r="J312" s="31">
        <v>0.48472222222222222</v>
      </c>
      <c r="K312" s="30">
        <f>((K339-K309)/30)+K311</f>
        <v>50.599999999999994</v>
      </c>
      <c r="L312" s="30">
        <f>((L339-L309)/30)+L311</f>
        <v>41.100000000000009</v>
      </c>
      <c r="M312" s="90">
        <v>34.70000000000001</v>
      </c>
      <c r="N312" s="89">
        <f t="shared" si="51"/>
        <v>4.7700000000000014</v>
      </c>
      <c r="O312" s="106">
        <f t="shared" si="52"/>
        <v>40.300000000000004</v>
      </c>
      <c r="P312" s="108">
        <v>22.280000000000005</v>
      </c>
      <c r="Q312" s="108">
        <v>10</v>
      </c>
      <c r="R312" s="107">
        <v>23.899999999999995</v>
      </c>
      <c r="S312" s="41" t="s">
        <v>435</v>
      </c>
      <c r="T312" s="34" t="s">
        <v>435</v>
      </c>
      <c r="U312" s="33"/>
      <c r="V312" s="43"/>
      <c r="W312" s="47"/>
      <c r="X312" s="47"/>
      <c r="AC312" s="88"/>
    </row>
    <row r="313" spans="1:29" ht="15.95" customHeight="1" x14ac:dyDescent="0.25">
      <c r="A313" s="29" t="s">
        <v>350</v>
      </c>
      <c r="B313" s="31">
        <v>0.27499999999999997</v>
      </c>
      <c r="C313" s="31">
        <v>0.69374999999999998</v>
      </c>
      <c r="D313" s="31">
        <v>0.20694444444444446</v>
      </c>
      <c r="E313" s="31">
        <v>0.76180555555555562</v>
      </c>
      <c r="F313" s="31">
        <v>0.23055555555555554</v>
      </c>
      <c r="G313" s="31">
        <v>0.73819444444444438</v>
      </c>
      <c r="H313" s="31">
        <v>0.25416666666666665</v>
      </c>
      <c r="I313" s="31">
        <v>0.71458333333333324</v>
      </c>
      <c r="J313" s="31">
        <v>0.48472222222222222</v>
      </c>
      <c r="K313" s="30">
        <f>((K339-K309)/30)+K312</f>
        <v>50.133333333333326</v>
      </c>
      <c r="L313" s="30">
        <f>((L339-L309)/30)+L312</f>
        <v>40.800000000000011</v>
      </c>
      <c r="M313" s="90">
        <v>34.400000000000013</v>
      </c>
      <c r="N313" s="89">
        <f t="shared" si="51"/>
        <v>4.6933333333333351</v>
      </c>
      <c r="O313" s="106">
        <f t="shared" si="52"/>
        <v>40.400000000000006</v>
      </c>
      <c r="P313" s="108">
        <v>22.040000000000006</v>
      </c>
      <c r="Q313" s="108">
        <v>10</v>
      </c>
      <c r="R313" s="107">
        <v>23.86666666666666</v>
      </c>
      <c r="S313" s="41" t="s">
        <v>435</v>
      </c>
      <c r="T313" s="34" t="s">
        <v>435</v>
      </c>
      <c r="U313" s="33"/>
      <c r="V313" s="43"/>
      <c r="W313" s="47"/>
      <c r="X313" s="47"/>
      <c r="AC313" s="88"/>
    </row>
    <row r="314" spans="1:29" ht="15.95" customHeight="1" x14ac:dyDescent="0.25">
      <c r="A314" s="29" t="s">
        <v>351</v>
      </c>
      <c r="B314" s="31">
        <v>0.27569444444444446</v>
      </c>
      <c r="C314" s="31">
        <v>0.69305555555555554</v>
      </c>
      <c r="D314" s="31">
        <v>0.2076388888888889</v>
      </c>
      <c r="E314" s="31">
        <v>0.76111111111111107</v>
      </c>
      <c r="F314" s="31">
        <v>0.23124999999999998</v>
      </c>
      <c r="G314" s="31">
        <v>0.73749999999999993</v>
      </c>
      <c r="H314" s="31">
        <v>0.25486111111111109</v>
      </c>
      <c r="I314" s="31">
        <v>0.71388888888888891</v>
      </c>
      <c r="J314" s="31">
        <v>0.48472222222222222</v>
      </c>
      <c r="K314" s="30">
        <f>((K339-K309)/30)+K313</f>
        <v>49.666666666666657</v>
      </c>
      <c r="L314" s="30">
        <f>((L339-L309)/30)+L313</f>
        <v>40.500000000000014</v>
      </c>
      <c r="M314" s="90">
        <v>34.100000000000016</v>
      </c>
      <c r="N314" s="89">
        <f t="shared" si="51"/>
        <v>4.6166666666666689</v>
      </c>
      <c r="O314" s="106">
        <f t="shared" si="52"/>
        <v>40.500000000000007</v>
      </c>
      <c r="P314" s="108">
        <v>21.800000000000008</v>
      </c>
      <c r="Q314" s="108">
        <v>10</v>
      </c>
      <c r="R314" s="107">
        <v>23.833333333333325</v>
      </c>
      <c r="S314" s="41" t="s">
        <v>435</v>
      </c>
      <c r="T314" s="34" t="s">
        <v>435</v>
      </c>
      <c r="U314" s="33"/>
      <c r="V314" s="43"/>
      <c r="W314" s="47"/>
      <c r="X314" s="47"/>
      <c r="AC314" s="88"/>
    </row>
    <row r="315" spans="1:29" ht="15.95" customHeight="1" x14ac:dyDescent="0.25">
      <c r="A315" s="29" t="s">
        <v>352</v>
      </c>
      <c r="B315" s="31">
        <v>0.27708333333333335</v>
      </c>
      <c r="C315" s="31">
        <v>0.69166666666666676</v>
      </c>
      <c r="D315" s="31">
        <v>0.20833333333333334</v>
      </c>
      <c r="E315" s="31">
        <v>0.76041666666666663</v>
      </c>
      <c r="F315" s="31">
        <v>0.23194444444444443</v>
      </c>
      <c r="G315" s="31">
        <v>0.7368055555555556</v>
      </c>
      <c r="H315" s="31">
        <v>0.25555555555555559</v>
      </c>
      <c r="I315" s="31">
        <v>0.71319444444444446</v>
      </c>
      <c r="J315" s="31">
        <v>0.48472222222222222</v>
      </c>
      <c r="K315" s="30">
        <f>((K339-K309)/30)+K314</f>
        <v>49.199999999999989</v>
      </c>
      <c r="L315" s="30">
        <f>((L339-L309)/30)+L314</f>
        <v>40.200000000000017</v>
      </c>
      <c r="M315" s="90">
        <v>33.800000000000018</v>
      </c>
      <c r="N315" s="89">
        <f t="shared" si="51"/>
        <v>4.5400000000000027</v>
      </c>
      <c r="O315" s="106">
        <f t="shared" si="52"/>
        <v>40.600000000000009</v>
      </c>
      <c r="P315" s="108">
        <v>21.560000000000009</v>
      </c>
      <c r="Q315" s="108">
        <v>10</v>
      </c>
      <c r="R315" s="107">
        <v>23.79999999999999</v>
      </c>
      <c r="S315" s="41" t="s">
        <v>435</v>
      </c>
      <c r="T315" s="34" t="s">
        <v>435</v>
      </c>
      <c r="U315" s="33"/>
      <c r="V315" s="43"/>
      <c r="W315" s="47"/>
      <c r="X315" s="47"/>
      <c r="AC315" s="88"/>
    </row>
    <row r="316" spans="1:29" ht="15.95" customHeight="1" x14ac:dyDescent="0.25">
      <c r="A316" s="29" t="s">
        <v>353</v>
      </c>
      <c r="B316" s="31">
        <v>0.27777777777777779</v>
      </c>
      <c r="C316" s="31">
        <v>0.69097222222222221</v>
      </c>
      <c r="D316" s="31">
        <v>0.20902777777777778</v>
      </c>
      <c r="E316" s="31">
        <v>0.7597222222222223</v>
      </c>
      <c r="F316" s="31">
        <v>0.23263888888888887</v>
      </c>
      <c r="G316" s="31">
        <v>0.73611111111111116</v>
      </c>
      <c r="H316" s="31">
        <v>0.25694444444444448</v>
      </c>
      <c r="I316" s="31">
        <v>0.71250000000000002</v>
      </c>
      <c r="J316" s="31">
        <v>0.48472222222222222</v>
      </c>
      <c r="K316" s="30">
        <f>((K339-K309)/30)+K315</f>
        <v>48.73333333333332</v>
      </c>
      <c r="L316" s="30">
        <f>((L339-L309)/30)+L315</f>
        <v>39.90000000000002</v>
      </c>
      <c r="M316" s="90">
        <v>33.500000000000021</v>
      </c>
      <c r="N316" s="89">
        <f t="shared" si="51"/>
        <v>4.4633333333333365</v>
      </c>
      <c r="O316" s="106">
        <f t="shared" si="52"/>
        <v>40.70000000000001</v>
      </c>
      <c r="P316" s="108">
        <v>21.320000000000011</v>
      </c>
      <c r="Q316" s="108">
        <v>10</v>
      </c>
      <c r="R316" s="107">
        <v>23.766666666666655</v>
      </c>
      <c r="S316" s="41" t="s">
        <v>435</v>
      </c>
      <c r="T316" s="34" t="s">
        <v>435</v>
      </c>
      <c r="U316" s="33"/>
      <c r="V316" s="43"/>
      <c r="W316" s="47"/>
      <c r="X316" s="47"/>
      <c r="AC316" s="88"/>
    </row>
    <row r="317" spans="1:29" ht="15.95" customHeight="1" x14ac:dyDescent="0.25">
      <c r="A317" s="29" t="s">
        <v>354</v>
      </c>
      <c r="B317" s="31">
        <v>0.27847222222222223</v>
      </c>
      <c r="C317" s="31">
        <v>0.69027777777777777</v>
      </c>
      <c r="D317" s="31">
        <v>0.21041666666666667</v>
      </c>
      <c r="E317" s="31">
        <v>0.75902777777777775</v>
      </c>
      <c r="F317" s="31">
        <v>0.23333333333333331</v>
      </c>
      <c r="G317" s="31">
        <v>0.73541666666666661</v>
      </c>
      <c r="H317" s="31">
        <v>0.25763888888888892</v>
      </c>
      <c r="I317" s="31">
        <v>0.71180555555555547</v>
      </c>
      <c r="J317" s="31">
        <v>0.48472222222222222</v>
      </c>
      <c r="K317" s="30">
        <f>((K339-K309)/30)+K316</f>
        <v>48.266666666666652</v>
      </c>
      <c r="L317" s="30">
        <f>((L339-L309)/30)+L316</f>
        <v>39.600000000000023</v>
      </c>
      <c r="M317" s="90">
        <v>33.200000000000024</v>
      </c>
      <c r="N317" s="89">
        <f t="shared" si="51"/>
        <v>4.3866666666666703</v>
      </c>
      <c r="O317" s="106">
        <f t="shared" si="52"/>
        <v>40.800000000000011</v>
      </c>
      <c r="P317" s="108">
        <v>21.080000000000013</v>
      </c>
      <c r="Q317" s="108">
        <v>10</v>
      </c>
      <c r="R317" s="107">
        <v>23.73333333333332</v>
      </c>
      <c r="S317" s="41" t="s">
        <v>435</v>
      </c>
      <c r="T317" s="34" t="s">
        <v>435</v>
      </c>
      <c r="U317" s="33"/>
      <c r="V317" s="43"/>
      <c r="W317" s="47"/>
      <c r="X317" s="47"/>
      <c r="AC317" s="88"/>
    </row>
    <row r="318" spans="1:29" ht="15.95" customHeight="1" x14ac:dyDescent="0.25">
      <c r="A318" s="29" t="s">
        <v>355</v>
      </c>
      <c r="B318" s="31">
        <v>0.27986111111111112</v>
      </c>
      <c r="C318" s="31">
        <v>0.68958333333333333</v>
      </c>
      <c r="D318" s="31">
        <v>0.21111111111111111</v>
      </c>
      <c r="E318" s="31">
        <v>0.7583333333333333</v>
      </c>
      <c r="F318" s="31">
        <v>0.23472222222222219</v>
      </c>
      <c r="G318" s="31">
        <v>0.73472222222222217</v>
      </c>
      <c r="H318" s="31">
        <v>0.25833333333333336</v>
      </c>
      <c r="I318" s="31">
        <v>0.71111111111111114</v>
      </c>
      <c r="J318" s="31">
        <v>0.48472222222222222</v>
      </c>
      <c r="K318" s="30">
        <f>((K339-K309)/30)+K317</f>
        <v>47.799999999999983</v>
      </c>
      <c r="L318" s="30">
        <f>((L339-L309)/30)+L317</f>
        <v>39.300000000000026</v>
      </c>
      <c r="M318" s="90">
        <v>32.900000000000027</v>
      </c>
      <c r="N318" s="89">
        <f t="shared" si="51"/>
        <v>4.3100000000000041</v>
      </c>
      <c r="O318" s="106">
        <f t="shared" si="52"/>
        <v>40.900000000000013</v>
      </c>
      <c r="P318" s="108">
        <v>20.840000000000014</v>
      </c>
      <c r="Q318" s="108">
        <v>10</v>
      </c>
      <c r="R318" s="107">
        <v>23.699999999999985</v>
      </c>
      <c r="S318" s="41" t="s">
        <v>435</v>
      </c>
      <c r="T318" s="34" t="s">
        <v>435</v>
      </c>
      <c r="U318" s="33"/>
      <c r="V318" s="43"/>
      <c r="W318" s="47"/>
      <c r="X318" s="47"/>
      <c r="AC318" s="88"/>
    </row>
    <row r="319" spans="1:29" ht="15.95" customHeight="1" x14ac:dyDescent="0.25">
      <c r="A319" s="29" t="s">
        <v>356</v>
      </c>
      <c r="B319" s="31">
        <v>0.28055555555555556</v>
      </c>
      <c r="C319" s="31">
        <v>0.68888888888888899</v>
      </c>
      <c r="D319" s="31">
        <v>0.21180555555555555</v>
      </c>
      <c r="E319" s="31">
        <v>0.75763888888888886</v>
      </c>
      <c r="F319" s="31">
        <v>0.23541666666666669</v>
      </c>
      <c r="G319" s="31">
        <v>0.73402777777777783</v>
      </c>
      <c r="H319" s="31">
        <v>0.2590277777777778</v>
      </c>
      <c r="I319" s="31">
        <v>0.7104166666666667</v>
      </c>
      <c r="J319" s="31">
        <v>0.48472222222222222</v>
      </c>
      <c r="K319" s="30">
        <f>((K339-K309)/30)+K318</f>
        <v>47.333333333333314</v>
      </c>
      <c r="L319" s="30">
        <f>((L339-L309)/30)+L318</f>
        <v>39.000000000000028</v>
      </c>
      <c r="M319" s="90">
        <v>32.60000000000003</v>
      </c>
      <c r="N319" s="89">
        <f t="shared" si="51"/>
        <v>4.2333333333333378</v>
      </c>
      <c r="O319" s="106">
        <f t="shared" si="52"/>
        <v>41.000000000000014</v>
      </c>
      <c r="P319" s="108">
        <v>20.600000000000016</v>
      </c>
      <c r="Q319" s="108">
        <v>10</v>
      </c>
      <c r="R319" s="107">
        <v>23.66666666666665</v>
      </c>
      <c r="S319" s="41" t="s">
        <v>435</v>
      </c>
      <c r="T319" s="34" t="s">
        <v>435</v>
      </c>
      <c r="U319" s="33"/>
      <c r="V319" s="43"/>
      <c r="W319" s="47"/>
      <c r="X319" s="47"/>
      <c r="AC319" s="88"/>
    </row>
    <row r="320" spans="1:29" ht="15.95" customHeight="1" x14ac:dyDescent="0.25">
      <c r="A320" s="29" t="s">
        <v>357</v>
      </c>
      <c r="B320" s="31">
        <v>0.28125</v>
      </c>
      <c r="C320" s="31">
        <v>0.68819444444444444</v>
      </c>
      <c r="D320" s="31">
        <v>0.21249999999999999</v>
      </c>
      <c r="E320" s="31">
        <v>0.75694444444444453</v>
      </c>
      <c r="F320" s="31">
        <v>0.23611111111111113</v>
      </c>
      <c r="G320" s="31">
        <v>0.73333333333333339</v>
      </c>
      <c r="H320" s="31">
        <v>0.26041666666666669</v>
      </c>
      <c r="I320" s="31">
        <v>0.70972222222222225</v>
      </c>
      <c r="J320" s="31">
        <v>0.48472222222222222</v>
      </c>
      <c r="K320" s="30">
        <f>((K339-K309)/30)+K319</f>
        <v>46.866666666666646</v>
      </c>
      <c r="L320" s="30">
        <f>((L339-L309)/30)+L319</f>
        <v>38.700000000000031</v>
      </c>
      <c r="M320" s="90">
        <v>32.300000000000033</v>
      </c>
      <c r="N320" s="89">
        <f t="shared" si="51"/>
        <v>4.1566666666666716</v>
      </c>
      <c r="O320" s="106">
        <f t="shared" si="52"/>
        <v>41.100000000000016</v>
      </c>
      <c r="P320" s="108">
        <v>20.360000000000017</v>
      </c>
      <c r="Q320" s="108">
        <v>10</v>
      </c>
      <c r="R320" s="107">
        <v>23.633333333333315</v>
      </c>
      <c r="S320" s="41" t="s">
        <v>435</v>
      </c>
      <c r="T320" s="34" t="s">
        <v>435</v>
      </c>
      <c r="U320" s="33"/>
      <c r="V320" s="43"/>
      <c r="W320" s="47"/>
      <c r="X320" s="47"/>
      <c r="AC320" s="88"/>
    </row>
    <row r="321" spans="1:29" ht="15.95" customHeight="1" x14ac:dyDescent="0.25">
      <c r="A321" s="29" t="s">
        <v>358</v>
      </c>
      <c r="B321" s="31">
        <v>0.28263888888888888</v>
      </c>
      <c r="C321" s="31">
        <v>0.6875</v>
      </c>
      <c r="D321" s="31">
        <v>0.21319444444444444</v>
      </c>
      <c r="E321" s="31">
        <v>0.75624999999999998</v>
      </c>
      <c r="F321" s="31">
        <v>0.23680555555555557</v>
      </c>
      <c r="G321" s="31">
        <v>0.73263888888888884</v>
      </c>
      <c r="H321" s="31">
        <v>0.26111111111111113</v>
      </c>
      <c r="I321" s="31">
        <v>0.7090277777777777</v>
      </c>
      <c r="J321" s="31">
        <v>0.48541666666666666</v>
      </c>
      <c r="K321" s="30">
        <f>((K339-K309)/30)+K320</f>
        <v>46.399999999999977</v>
      </c>
      <c r="L321" s="30">
        <f>((L339-L309)/30)+L320</f>
        <v>38.400000000000034</v>
      </c>
      <c r="M321" s="90">
        <v>32.000000000000036</v>
      </c>
      <c r="N321" s="89">
        <f t="shared" si="51"/>
        <v>4.0800000000000054</v>
      </c>
      <c r="O321" s="106">
        <f t="shared" si="52"/>
        <v>41.200000000000017</v>
      </c>
      <c r="P321" s="108">
        <v>20.120000000000019</v>
      </c>
      <c r="Q321" s="108">
        <v>10</v>
      </c>
      <c r="R321" s="107">
        <v>23.59999999999998</v>
      </c>
      <c r="S321" s="41" t="s">
        <v>435</v>
      </c>
      <c r="T321" s="34" t="s">
        <v>435</v>
      </c>
      <c r="U321" s="33"/>
      <c r="V321" s="43"/>
      <c r="W321" s="47"/>
      <c r="X321" s="47"/>
      <c r="AC321" s="88"/>
    </row>
    <row r="322" spans="1:29" ht="15.95" customHeight="1" x14ac:dyDescent="0.25">
      <c r="A322" s="29" t="s">
        <v>359</v>
      </c>
      <c r="B322" s="31">
        <v>0.28333333333333333</v>
      </c>
      <c r="C322" s="31">
        <v>0.68680555555555556</v>
      </c>
      <c r="D322" s="31">
        <v>0.21388888888888891</v>
      </c>
      <c r="E322" s="31">
        <v>0.75624999999999998</v>
      </c>
      <c r="F322" s="31">
        <v>0.23750000000000002</v>
      </c>
      <c r="G322" s="31">
        <v>0.73263888888888884</v>
      </c>
      <c r="H322" s="31">
        <v>0.26180555555555557</v>
      </c>
      <c r="I322" s="31">
        <v>0.70833333333333337</v>
      </c>
      <c r="J322" s="31">
        <v>0.48541666666666666</v>
      </c>
      <c r="K322" s="30">
        <f>((K339-K309)/30)+K321</f>
        <v>45.933333333333309</v>
      </c>
      <c r="L322" s="30">
        <f>((L339-L309)/30)+L321</f>
        <v>38.100000000000037</v>
      </c>
      <c r="M322" s="90">
        <v>31.700000000000035</v>
      </c>
      <c r="N322" s="89">
        <f t="shared" si="51"/>
        <v>4.0033333333333392</v>
      </c>
      <c r="O322" s="106">
        <f t="shared" si="52"/>
        <v>41.300000000000018</v>
      </c>
      <c r="P322" s="108">
        <v>19.88000000000002</v>
      </c>
      <c r="Q322" s="108">
        <v>10</v>
      </c>
      <c r="R322" s="107">
        <v>23.566666666666645</v>
      </c>
      <c r="S322" s="41" t="s">
        <v>435</v>
      </c>
      <c r="T322" s="34" t="s">
        <v>435</v>
      </c>
      <c r="U322" s="33"/>
      <c r="V322" s="43"/>
      <c r="W322" s="47"/>
      <c r="X322" s="47"/>
      <c r="AC322" s="88"/>
    </row>
    <row r="323" spans="1:29" ht="15.95" customHeight="1" x14ac:dyDescent="0.25">
      <c r="A323" s="29" t="s">
        <v>360</v>
      </c>
      <c r="B323" s="31">
        <v>0.28402777777777777</v>
      </c>
      <c r="C323" s="31">
        <v>0.68611111111111101</v>
      </c>
      <c r="D323" s="31">
        <v>0.21458333333333335</v>
      </c>
      <c r="E323" s="31">
        <v>0.75555555555555554</v>
      </c>
      <c r="F323" s="31">
        <v>0.23819444444444446</v>
      </c>
      <c r="G323" s="31">
        <v>0.7319444444444444</v>
      </c>
      <c r="H323" s="31">
        <v>0.26250000000000001</v>
      </c>
      <c r="I323" s="31">
        <v>0.70763888888888893</v>
      </c>
      <c r="J323" s="31">
        <v>0.48541666666666666</v>
      </c>
      <c r="K323" s="30">
        <f>((K339-K309)/30)+K322</f>
        <v>45.46666666666664</v>
      </c>
      <c r="L323" s="30">
        <f>((L339-L309)/30)+L322</f>
        <v>37.80000000000004</v>
      </c>
      <c r="M323" s="90">
        <v>31.400000000000034</v>
      </c>
      <c r="N323" s="89">
        <f t="shared" si="51"/>
        <v>3.9266666666666725</v>
      </c>
      <c r="O323" s="106">
        <f t="shared" si="52"/>
        <v>41.40000000000002</v>
      </c>
      <c r="P323" s="108">
        <v>19.640000000000022</v>
      </c>
      <c r="Q323" s="108">
        <v>10</v>
      </c>
      <c r="R323" s="107">
        <v>23.53333333333331</v>
      </c>
      <c r="S323" s="41" t="s">
        <v>435</v>
      </c>
      <c r="T323" s="34" t="s">
        <v>435</v>
      </c>
      <c r="U323" s="33"/>
      <c r="V323" s="43"/>
      <c r="W323" s="47"/>
      <c r="X323" s="47"/>
      <c r="AC323" s="88"/>
    </row>
    <row r="324" spans="1:29" ht="15.95" customHeight="1" x14ac:dyDescent="0.25">
      <c r="A324" s="29" t="s">
        <v>361</v>
      </c>
      <c r="B324" s="31">
        <v>0.28541666666666665</v>
      </c>
      <c r="C324" s="31">
        <v>0.68541666666666667</v>
      </c>
      <c r="D324" s="31">
        <v>0.21527777777777779</v>
      </c>
      <c r="E324" s="31">
        <v>0.75486111111111109</v>
      </c>
      <c r="F324" s="31">
        <v>0.23958333333333334</v>
      </c>
      <c r="G324" s="31">
        <v>0.73125000000000007</v>
      </c>
      <c r="H324" s="31">
        <v>0.26319444444444445</v>
      </c>
      <c r="I324" s="31">
        <v>0.70694444444444438</v>
      </c>
      <c r="J324" s="31">
        <v>0.48541666666666666</v>
      </c>
      <c r="K324" s="30">
        <f>((K339-K309)/30)+K323</f>
        <v>44.999999999999972</v>
      </c>
      <c r="L324" s="30">
        <f>((L339-L309)/30)+L323</f>
        <v>37.500000000000043</v>
      </c>
      <c r="M324" s="90">
        <v>31.100000000000033</v>
      </c>
      <c r="N324" s="89">
        <f t="shared" si="51"/>
        <v>3.8500000000000059</v>
      </c>
      <c r="O324" s="106">
        <f t="shared" si="52"/>
        <v>41.500000000000021</v>
      </c>
      <c r="P324" s="108">
        <v>19.400000000000023</v>
      </c>
      <c r="Q324" s="108">
        <v>10</v>
      </c>
      <c r="R324" s="107">
        <v>23.499999999999975</v>
      </c>
      <c r="S324" s="41" t="s">
        <v>435</v>
      </c>
      <c r="T324" s="34" t="s">
        <v>435</v>
      </c>
      <c r="U324" s="33"/>
      <c r="V324" s="43"/>
      <c r="W324" s="47"/>
      <c r="X324" s="47"/>
      <c r="AC324" s="88"/>
    </row>
    <row r="325" spans="1:29" ht="15.95" customHeight="1" x14ac:dyDescent="0.25">
      <c r="A325" s="29" t="s">
        <v>362</v>
      </c>
      <c r="B325" s="31">
        <v>0.28611111111111115</v>
      </c>
      <c r="C325" s="31">
        <v>0.68472222222222223</v>
      </c>
      <c r="D325" s="31">
        <v>0.21666666666666667</v>
      </c>
      <c r="E325" s="31">
        <v>0.75416666666666676</v>
      </c>
      <c r="F325" s="31">
        <v>0.24027777777777778</v>
      </c>
      <c r="G325" s="31">
        <v>0.73055555555555562</v>
      </c>
      <c r="H325" s="31">
        <v>0.26458333333333334</v>
      </c>
      <c r="I325" s="31">
        <v>0.70624999999999993</v>
      </c>
      <c r="J325" s="31">
        <v>0.48541666666666666</v>
      </c>
      <c r="K325" s="30">
        <f>((K339-K309)/30)+K324</f>
        <v>44.533333333333303</v>
      </c>
      <c r="L325" s="30">
        <f>((L339-L309)/30)+L324</f>
        <v>37.200000000000045</v>
      </c>
      <c r="M325" s="90">
        <v>30.800000000000033</v>
      </c>
      <c r="N325" s="89">
        <f t="shared" si="51"/>
        <v>3.7733333333333392</v>
      </c>
      <c r="O325" s="106">
        <f t="shared" si="52"/>
        <v>41.600000000000023</v>
      </c>
      <c r="P325" s="108">
        <v>19.160000000000025</v>
      </c>
      <c r="Q325" s="108">
        <v>10</v>
      </c>
      <c r="R325" s="107">
        <v>23.46666666666664</v>
      </c>
      <c r="S325" s="41" t="s">
        <v>435</v>
      </c>
      <c r="T325" s="34" t="s">
        <v>435</v>
      </c>
      <c r="U325" s="33"/>
      <c r="V325" s="43"/>
      <c r="W325" s="47"/>
      <c r="X325" s="47"/>
      <c r="AC325" s="88"/>
    </row>
    <row r="326" spans="1:29" ht="15.95" customHeight="1" x14ac:dyDescent="0.25">
      <c r="A326" s="29" t="s">
        <v>363</v>
      </c>
      <c r="B326" s="31">
        <v>0.28680555555555554</v>
      </c>
      <c r="C326" s="31">
        <v>0.68402777777777779</v>
      </c>
      <c r="D326" s="31">
        <v>0.21736111111111112</v>
      </c>
      <c r="E326" s="31">
        <v>0.75416666666666676</v>
      </c>
      <c r="F326" s="31">
        <v>0.24097222222222223</v>
      </c>
      <c r="G326" s="31">
        <v>0.73055555555555562</v>
      </c>
      <c r="H326" s="31">
        <v>0.26527777777777778</v>
      </c>
      <c r="I326" s="31">
        <v>0.70624999999999993</v>
      </c>
      <c r="J326" s="31">
        <v>0.48541666666666666</v>
      </c>
      <c r="K326" s="30">
        <f>((K339-K309)/30)+K325</f>
        <v>44.066666666666634</v>
      </c>
      <c r="L326" s="30">
        <f>((L339-L309)/30)+L325</f>
        <v>36.900000000000048</v>
      </c>
      <c r="M326" s="90">
        <v>30.500000000000032</v>
      </c>
      <c r="N326" s="89">
        <f t="shared" si="51"/>
        <v>3.6966666666666725</v>
      </c>
      <c r="O326" s="106">
        <f t="shared" si="52"/>
        <v>41.700000000000024</v>
      </c>
      <c r="P326" s="108">
        <v>18.920000000000027</v>
      </c>
      <c r="Q326" s="108">
        <v>10</v>
      </c>
      <c r="R326" s="107">
        <v>23.433333333333305</v>
      </c>
      <c r="S326" s="41" t="s">
        <v>435</v>
      </c>
      <c r="T326" s="34" t="s">
        <v>435</v>
      </c>
      <c r="U326" s="33"/>
      <c r="V326" s="43"/>
      <c r="W326" s="47"/>
      <c r="X326" s="47"/>
      <c r="AC326" s="88"/>
    </row>
    <row r="327" spans="1:29" ht="15.95" customHeight="1" x14ac:dyDescent="0.25">
      <c r="A327" s="29" t="s">
        <v>364</v>
      </c>
      <c r="B327" s="31">
        <v>0.28750000000000003</v>
      </c>
      <c r="C327" s="31">
        <v>0.68402777777777779</v>
      </c>
      <c r="D327" s="31">
        <v>0.21805555555555556</v>
      </c>
      <c r="E327" s="31">
        <v>0.75347222222222221</v>
      </c>
      <c r="F327" s="31">
        <v>0.24166666666666667</v>
      </c>
      <c r="G327" s="31">
        <v>0.72986111111111107</v>
      </c>
      <c r="H327" s="31">
        <v>0.26597222222222222</v>
      </c>
      <c r="I327" s="31">
        <v>0.7055555555555556</v>
      </c>
      <c r="J327" s="31">
        <v>0.4861111111111111</v>
      </c>
      <c r="K327" s="30">
        <f>((K339-K309)/30)+K326</f>
        <v>43.599999999999966</v>
      </c>
      <c r="L327" s="30">
        <f>((L339-L309)/30)+L326</f>
        <v>36.600000000000051</v>
      </c>
      <c r="M327" s="90">
        <v>30.200000000000031</v>
      </c>
      <c r="N327" s="89">
        <f t="shared" si="51"/>
        <v>3.6200000000000059</v>
      </c>
      <c r="O327" s="106">
        <f t="shared" si="52"/>
        <v>41.800000000000026</v>
      </c>
      <c r="P327" s="108">
        <v>18.680000000000028</v>
      </c>
      <c r="Q327" s="108">
        <v>10</v>
      </c>
      <c r="R327" s="107">
        <v>23.39999999999997</v>
      </c>
      <c r="S327" s="41" t="s">
        <v>435</v>
      </c>
      <c r="T327" s="34" t="s">
        <v>435</v>
      </c>
      <c r="U327" s="33"/>
      <c r="V327" s="43"/>
      <c r="W327" s="47"/>
      <c r="X327" s="47"/>
      <c r="AC327" s="88"/>
    </row>
    <row r="328" spans="1:29" ht="15.95" customHeight="1" x14ac:dyDescent="0.25">
      <c r="A328" s="29" t="s">
        <v>365</v>
      </c>
      <c r="B328" s="31">
        <v>0.28888888888888892</v>
      </c>
      <c r="C328" s="31">
        <v>0.68333333333333324</v>
      </c>
      <c r="D328" s="31">
        <v>0.21875</v>
      </c>
      <c r="E328" s="31">
        <v>0.75347222222222221</v>
      </c>
      <c r="F328" s="31">
        <v>0.24236111111111111</v>
      </c>
      <c r="G328" s="31">
        <v>0.72916666666666663</v>
      </c>
      <c r="H328" s="31">
        <v>0.26666666666666666</v>
      </c>
      <c r="I328" s="31">
        <v>0.70486111111111116</v>
      </c>
      <c r="J328" s="31">
        <v>0.4861111111111111</v>
      </c>
      <c r="K328" s="30">
        <f>((K339-K309)/30)+K327</f>
        <v>43.133333333333297</v>
      </c>
      <c r="L328" s="30">
        <f>((L339-L309)/30)+L327</f>
        <v>36.300000000000054</v>
      </c>
      <c r="M328" s="90">
        <v>29.900000000000031</v>
      </c>
      <c r="N328" s="89">
        <f t="shared" si="51"/>
        <v>3.5433333333333392</v>
      </c>
      <c r="O328" s="106">
        <f t="shared" si="52"/>
        <v>41.900000000000027</v>
      </c>
      <c r="P328" s="108">
        <v>18.44000000000003</v>
      </c>
      <c r="Q328" s="108">
        <v>10</v>
      </c>
      <c r="R328" s="107">
        <v>23.366666666666635</v>
      </c>
      <c r="S328" s="41" t="s">
        <v>435</v>
      </c>
      <c r="T328" s="34" t="s">
        <v>435</v>
      </c>
      <c r="U328" s="33"/>
      <c r="V328" s="43"/>
      <c r="W328" s="47"/>
      <c r="X328" s="47"/>
      <c r="AC328" s="88"/>
    </row>
    <row r="329" spans="1:29" ht="15.95" customHeight="1" x14ac:dyDescent="0.25">
      <c r="A329" s="29" t="s">
        <v>366</v>
      </c>
      <c r="B329" s="31">
        <v>0.28958333333333336</v>
      </c>
      <c r="C329" s="31">
        <v>0.68263888888888891</v>
      </c>
      <c r="D329" s="31">
        <v>0.21944444444444444</v>
      </c>
      <c r="E329" s="31">
        <v>0.75277777777777777</v>
      </c>
      <c r="F329" s="31">
        <v>0.24305555555555555</v>
      </c>
      <c r="G329" s="31">
        <v>0.72916666666666663</v>
      </c>
      <c r="H329" s="31">
        <v>0.2673611111111111</v>
      </c>
      <c r="I329" s="31">
        <v>0.70486111111111116</v>
      </c>
      <c r="J329" s="31">
        <v>0.4861111111111111</v>
      </c>
      <c r="K329" s="30">
        <f>((K339-K309)/30)+K328</f>
        <v>42.666666666666629</v>
      </c>
      <c r="L329" s="30">
        <f>((L339-L309)/30)+L328</f>
        <v>36.000000000000057</v>
      </c>
      <c r="M329" s="90">
        <v>29.60000000000003</v>
      </c>
      <c r="N329" s="89">
        <f t="shared" si="51"/>
        <v>3.4666666666666726</v>
      </c>
      <c r="O329" s="106">
        <f t="shared" si="52"/>
        <v>42.000000000000028</v>
      </c>
      <c r="P329" s="108">
        <v>18.200000000000031</v>
      </c>
      <c r="Q329" s="108">
        <v>10</v>
      </c>
      <c r="R329" s="107">
        <v>23.3333333333333</v>
      </c>
      <c r="S329" s="41" t="s">
        <v>435</v>
      </c>
      <c r="T329" s="34" t="s">
        <v>435</v>
      </c>
      <c r="U329" s="33"/>
      <c r="V329" s="43"/>
      <c r="W329" s="47"/>
      <c r="X329" s="47"/>
      <c r="AC329" s="88"/>
    </row>
    <row r="330" spans="1:29" ht="15.95" customHeight="1" x14ac:dyDescent="0.25">
      <c r="A330" s="29" t="s">
        <v>367</v>
      </c>
      <c r="B330" s="31">
        <v>0.2902777777777778</v>
      </c>
      <c r="C330" s="31">
        <v>0.68194444444444446</v>
      </c>
      <c r="D330" s="31">
        <v>0.22013888888888888</v>
      </c>
      <c r="E330" s="31">
        <v>0.75277777777777777</v>
      </c>
      <c r="F330" s="31">
        <v>0.24374999999999999</v>
      </c>
      <c r="G330" s="31">
        <v>0.7284722222222223</v>
      </c>
      <c r="H330" s="31">
        <v>0.26874999999999999</v>
      </c>
      <c r="I330" s="31">
        <v>0.70416666666666661</v>
      </c>
      <c r="J330" s="31">
        <v>0.4861111111111111</v>
      </c>
      <c r="K330" s="30">
        <f>((K339-K309)/30)+K329</f>
        <v>42.19999999999996</v>
      </c>
      <c r="L330" s="30">
        <f>((L339-L309)/30)+L329</f>
        <v>35.70000000000006</v>
      </c>
      <c r="M330" s="90">
        <v>29.300000000000029</v>
      </c>
      <c r="N330" s="89">
        <f t="shared" si="51"/>
        <v>3.3900000000000059</v>
      </c>
      <c r="O330" s="106">
        <f t="shared" si="52"/>
        <v>42.10000000000003</v>
      </c>
      <c r="P330" s="108">
        <v>17.960000000000033</v>
      </c>
      <c r="Q330" s="108">
        <v>10</v>
      </c>
      <c r="R330" s="107">
        <v>23.299999999999965</v>
      </c>
      <c r="S330" s="41" t="s">
        <v>435</v>
      </c>
      <c r="T330" s="34" t="s">
        <v>435</v>
      </c>
      <c r="U330" s="33"/>
      <c r="V330" s="43"/>
      <c r="W330" s="47"/>
      <c r="X330" s="47"/>
      <c r="AC330" s="88"/>
    </row>
    <row r="331" spans="1:29" ht="15.95" customHeight="1" x14ac:dyDescent="0.25">
      <c r="A331" s="29" t="s">
        <v>368</v>
      </c>
      <c r="B331" s="31">
        <v>0.29097222222222224</v>
      </c>
      <c r="C331" s="31">
        <v>0.68194444444444446</v>
      </c>
      <c r="D331" s="31">
        <v>0.22083333333333333</v>
      </c>
      <c r="E331" s="31">
        <v>0.75208333333333333</v>
      </c>
      <c r="F331" s="31">
        <v>0.24444444444444446</v>
      </c>
      <c r="G331" s="31">
        <v>0.7284722222222223</v>
      </c>
      <c r="H331" s="31">
        <v>0.26944444444444443</v>
      </c>
      <c r="I331" s="31">
        <v>0.70347222222222217</v>
      </c>
      <c r="J331" s="31">
        <v>0.48680555555555555</v>
      </c>
      <c r="K331" s="30">
        <f>((K339-K309)/30)+K330</f>
        <v>41.733333333333292</v>
      </c>
      <c r="L331" s="30">
        <f>((L339-L309)/30)+L330</f>
        <v>35.400000000000063</v>
      </c>
      <c r="M331" s="90">
        <v>29.000000000000028</v>
      </c>
      <c r="N331" s="89">
        <f t="shared" si="51"/>
        <v>3.3133333333333392</v>
      </c>
      <c r="O331" s="106">
        <f t="shared" si="52"/>
        <v>42.200000000000031</v>
      </c>
      <c r="P331" s="108">
        <v>17.720000000000034</v>
      </c>
      <c r="Q331" s="108">
        <v>10</v>
      </c>
      <c r="R331" s="107">
        <v>23.26666666666663</v>
      </c>
      <c r="S331" s="41" t="s">
        <v>435</v>
      </c>
      <c r="T331" s="34" t="s">
        <v>435</v>
      </c>
      <c r="U331" s="33"/>
      <c r="V331" s="43"/>
      <c r="W331" s="47"/>
      <c r="X331" s="47"/>
      <c r="AC331" s="88"/>
    </row>
    <row r="332" spans="1:29" ht="15.95" customHeight="1" x14ac:dyDescent="0.25">
      <c r="A332" s="29" t="s">
        <v>369</v>
      </c>
      <c r="B332" s="31">
        <v>0.29236111111111113</v>
      </c>
      <c r="C332" s="31">
        <v>0.68125000000000002</v>
      </c>
      <c r="D332" s="31">
        <v>0.22152777777777777</v>
      </c>
      <c r="E332" s="31">
        <v>0.75208333333333333</v>
      </c>
      <c r="F332" s="31">
        <v>0.24513888888888888</v>
      </c>
      <c r="G332" s="31">
        <v>0.72777777777777775</v>
      </c>
      <c r="H332" s="31">
        <v>0.27013888888888887</v>
      </c>
      <c r="I332" s="31">
        <v>0.70347222222222217</v>
      </c>
      <c r="J332" s="31">
        <v>0.48680555555555555</v>
      </c>
      <c r="K332" s="30">
        <f>((K339-K309)/30)+K331</f>
        <v>41.266666666666623</v>
      </c>
      <c r="L332" s="30">
        <f>((L339-L309)/30)+L331</f>
        <v>35.100000000000065</v>
      </c>
      <c r="M332" s="90">
        <v>28.700000000000028</v>
      </c>
      <c r="N332" s="89">
        <f t="shared" si="51"/>
        <v>3.2366666666666726</v>
      </c>
      <c r="O332" s="106">
        <f t="shared" si="52"/>
        <v>42.300000000000033</v>
      </c>
      <c r="P332" s="108">
        <v>17.480000000000036</v>
      </c>
      <c r="Q332" s="108">
        <v>10</v>
      </c>
      <c r="R332" s="107">
        <v>23.233333333333295</v>
      </c>
      <c r="S332" s="41" t="s">
        <v>435</v>
      </c>
      <c r="T332" s="34" t="s">
        <v>435</v>
      </c>
      <c r="U332" s="33"/>
      <c r="V332" s="43"/>
      <c r="W332" s="47"/>
      <c r="X332" s="47"/>
      <c r="AC332" s="88"/>
    </row>
    <row r="333" spans="1:29" ht="15.95" customHeight="1" x14ac:dyDescent="0.25">
      <c r="A333" s="29" t="s">
        <v>370</v>
      </c>
      <c r="B333" s="31">
        <v>0.29305555555555557</v>
      </c>
      <c r="C333" s="31">
        <v>0.68125000000000002</v>
      </c>
      <c r="D333" s="31">
        <v>0.22222222222222221</v>
      </c>
      <c r="E333" s="31">
        <v>0.75138888888888899</v>
      </c>
      <c r="F333" s="31">
        <v>0.24652777777777779</v>
      </c>
      <c r="G333" s="31">
        <v>0.72777777777777775</v>
      </c>
      <c r="H333" s="31">
        <v>0.27083333333333331</v>
      </c>
      <c r="I333" s="31">
        <v>0.70277777777777783</v>
      </c>
      <c r="J333" s="31">
        <v>0.48680555555555555</v>
      </c>
      <c r="K333" s="30">
        <f>((K339-K309)/30)+K332</f>
        <v>40.799999999999955</v>
      </c>
      <c r="L333" s="30">
        <f>((L339-L309)/30)+L332</f>
        <v>34.800000000000068</v>
      </c>
      <c r="M333" s="90">
        <v>28.400000000000027</v>
      </c>
      <c r="N333" s="89">
        <f t="shared" si="51"/>
        <v>3.1600000000000059</v>
      </c>
      <c r="O333" s="106">
        <f t="shared" si="52"/>
        <v>42.400000000000034</v>
      </c>
      <c r="P333" s="108">
        <v>17.240000000000038</v>
      </c>
      <c r="Q333" s="108">
        <v>10</v>
      </c>
      <c r="R333" s="107">
        <v>23.19999999999996</v>
      </c>
      <c r="S333" s="41" t="s">
        <v>435</v>
      </c>
      <c r="T333" s="34" t="s">
        <v>435</v>
      </c>
      <c r="U333" s="33"/>
      <c r="V333" s="43"/>
      <c r="W333" s="47"/>
      <c r="X333" s="47"/>
      <c r="AC333" s="88"/>
    </row>
    <row r="334" spans="1:29" ht="15.95" customHeight="1" x14ac:dyDescent="0.25">
      <c r="A334" s="29" t="s">
        <v>371</v>
      </c>
      <c r="B334" s="31">
        <v>0.29375000000000001</v>
      </c>
      <c r="C334" s="31">
        <v>0.68055555555555547</v>
      </c>
      <c r="D334" s="31">
        <v>0.22291666666666665</v>
      </c>
      <c r="E334" s="31">
        <v>0.75138888888888899</v>
      </c>
      <c r="F334" s="31">
        <v>0.24722222222222223</v>
      </c>
      <c r="G334" s="31">
        <v>0.7270833333333333</v>
      </c>
      <c r="H334" s="31">
        <v>0.27152777777777776</v>
      </c>
      <c r="I334" s="31">
        <v>0.70277777777777783</v>
      </c>
      <c r="J334" s="31">
        <v>0.48749999999999999</v>
      </c>
      <c r="K334" s="30">
        <f>((K339-K309)/30)+K333</f>
        <v>40.333333333333286</v>
      </c>
      <c r="L334" s="30">
        <f>((L339-L309)/30)+L333</f>
        <v>34.500000000000071</v>
      </c>
      <c r="M334" s="90">
        <v>28.100000000000026</v>
      </c>
      <c r="N334" s="89">
        <f t="shared" si="51"/>
        <v>3.0833333333333393</v>
      </c>
      <c r="O334" s="106">
        <f t="shared" si="52"/>
        <v>42.500000000000036</v>
      </c>
      <c r="P334" s="108">
        <v>17.000000000000039</v>
      </c>
      <c r="Q334" s="108">
        <v>10</v>
      </c>
      <c r="R334" s="107">
        <v>23.166666666666625</v>
      </c>
      <c r="S334" s="41" t="s">
        <v>435</v>
      </c>
      <c r="T334" s="34" t="s">
        <v>435</v>
      </c>
      <c r="U334" s="33"/>
      <c r="V334" s="43"/>
      <c r="W334" s="47"/>
      <c r="X334" s="47"/>
      <c r="AC334" s="88"/>
    </row>
    <row r="335" spans="1:29" ht="15.95" customHeight="1" x14ac:dyDescent="0.25">
      <c r="A335" s="29" t="s">
        <v>372</v>
      </c>
      <c r="B335" s="31">
        <v>0.29444444444444445</v>
      </c>
      <c r="C335" s="31">
        <v>0.67986111111111114</v>
      </c>
      <c r="D335" s="31">
        <v>0.22361111111111109</v>
      </c>
      <c r="E335" s="31">
        <v>0.75138888888888899</v>
      </c>
      <c r="F335" s="31">
        <v>0.24791666666666667</v>
      </c>
      <c r="G335" s="31">
        <v>0.7270833333333333</v>
      </c>
      <c r="H335" s="31">
        <v>0.2722222222222222</v>
      </c>
      <c r="I335" s="31">
        <v>0.70208333333333339</v>
      </c>
      <c r="J335" s="31">
        <v>0.48749999999999999</v>
      </c>
      <c r="K335" s="30">
        <f>((K339-K309)/30)+K334</f>
        <v>39.866666666666617</v>
      </c>
      <c r="L335" s="30">
        <f>((L339-L309)/30)+L334</f>
        <v>34.200000000000074</v>
      </c>
      <c r="M335" s="90">
        <v>27.800000000000026</v>
      </c>
      <c r="N335" s="89">
        <f t="shared" si="51"/>
        <v>3.0066666666666726</v>
      </c>
      <c r="O335" s="106">
        <f t="shared" si="52"/>
        <v>42.600000000000037</v>
      </c>
      <c r="P335" s="108">
        <v>16.760000000000041</v>
      </c>
      <c r="Q335" s="108">
        <v>10</v>
      </c>
      <c r="R335" s="107">
        <v>23.13333333333329</v>
      </c>
      <c r="S335" s="41" t="s">
        <v>435</v>
      </c>
      <c r="T335" s="34" t="s">
        <v>435</v>
      </c>
      <c r="U335" s="33"/>
      <c r="V335" s="43"/>
      <c r="W335" s="47"/>
      <c r="X335" s="47"/>
      <c r="AC335" s="88"/>
    </row>
    <row r="336" spans="1:29" ht="15.95" customHeight="1" x14ac:dyDescent="0.25">
      <c r="A336" s="29" t="s">
        <v>373</v>
      </c>
      <c r="B336" s="31">
        <v>0.2951388888888889</v>
      </c>
      <c r="C336" s="31">
        <v>0.67986111111111114</v>
      </c>
      <c r="D336" s="31">
        <v>0.22430555555555556</v>
      </c>
      <c r="E336" s="31">
        <v>0.75069444444444444</v>
      </c>
      <c r="F336" s="31">
        <v>0.24861111111111112</v>
      </c>
      <c r="G336" s="31">
        <v>0.7270833333333333</v>
      </c>
      <c r="H336" s="31">
        <v>0.27291666666666664</v>
      </c>
      <c r="I336" s="31">
        <v>0.70208333333333339</v>
      </c>
      <c r="J336" s="31">
        <v>0.48749999999999999</v>
      </c>
      <c r="K336" s="30">
        <f>((K339-K309)/30)+K335</f>
        <v>39.399999999999949</v>
      </c>
      <c r="L336" s="30">
        <f>((L339-L309)/30)+L335</f>
        <v>33.900000000000077</v>
      </c>
      <c r="M336" s="90">
        <v>27.500000000000025</v>
      </c>
      <c r="N336" s="89">
        <f t="shared" si="51"/>
        <v>2.9300000000000059</v>
      </c>
      <c r="O336" s="106">
        <f t="shared" si="52"/>
        <v>42.700000000000038</v>
      </c>
      <c r="P336" s="108">
        <v>16.520000000000042</v>
      </c>
      <c r="Q336" s="108">
        <v>10</v>
      </c>
      <c r="R336" s="107">
        <v>23.099999999999955</v>
      </c>
      <c r="S336" s="41" t="s">
        <v>435</v>
      </c>
      <c r="T336" s="34" t="s">
        <v>435</v>
      </c>
      <c r="U336" s="33"/>
      <c r="V336" s="43"/>
      <c r="W336" s="47"/>
      <c r="X336" s="47"/>
      <c r="AC336" s="88"/>
    </row>
    <row r="337" spans="1:29" ht="15.95" customHeight="1" x14ac:dyDescent="0.25">
      <c r="A337" s="29" t="s">
        <v>374</v>
      </c>
      <c r="B337" s="31">
        <v>0.29652777777777778</v>
      </c>
      <c r="C337" s="31">
        <v>0.67986111111111114</v>
      </c>
      <c r="D337" s="31">
        <v>0.22500000000000001</v>
      </c>
      <c r="E337" s="31">
        <v>0.75069444444444444</v>
      </c>
      <c r="F337" s="31">
        <v>0.24930555555555556</v>
      </c>
      <c r="G337" s="31">
        <v>0.72638888888888886</v>
      </c>
      <c r="H337" s="31">
        <v>0.27361111111111108</v>
      </c>
      <c r="I337" s="31">
        <v>0.70208333333333339</v>
      </c>
      <c r="J337" s="31">
        <v>0.48819444444444443</v>
      </c>
      <c r="K337" s="30">
        <f>((K339-K309)/30)+K336</f>
        <v>38.93333333333328</v>
      </c>
      <c r="L337" s="30">
        <f>((L339-L309)/30)+L336</f>
        <v>33.60000000000008</v>
      </c>
      <c r="M337" s="90">
        <v>27.200000000000024</v>
      </c>
      <c r="N337" s="89">
        <f t="shared" si="51"/>
        <v>2.8533333333333393</v>
      </c>
      <c r="O337" s="106">
        <f t="shared" si="52"/>
        <v>42.80000000000004</v>
      </c>
      <c r="P337" s="108">
        <v>16.280000000000044</v>
      </c>
      <c r="Q337" s="108">
        <v>10</v>
      </c>
      <c r="R337" s="107">
        <v>23.06666666666662</v>
      </c>
      <c r="S337" s="41" t="s">
        <v>435</v>
      </c>
      <c r="T337" s="34" t="s">
        <v>435</v>
      </c>
      <c r="U337" s="33"/>
      <c r="V337" s="43"/>
      <c r="W337" s="47"/>
      <c r="X337" s="47"/>
      <c r="AC337" s="88"/>
    </row>
    <row r="338" spans="1:29" ht="15.95" customHeight="1" x14ac:dyDescent="0.25">
      <c r="A338" s="29" t="s">
        <v>375</v>
      </c>
      <c r="B338" s="31">
        <v>0.29722222222222222</v>
      </c>
      <c r="C338" s="31">
        <v>0.6791666666666667</v>
      </c>
      <c r="D338" s="31">
        <v>0.22569444444444445</v>
      </c>
      <c r="E338" s="31">
        <v>0.75069444444444444</v>
      </c>
      <c r="F338" s="31">
        <v>0.25</v>
      </c>
      <c r="G338" s="31">
        <v>0.72638888888888886</v>
      </c>
      <c r="H338" s="31">
        <v>0.27430555555555552</v>
      </c>
      <c r="I338" s="31">
        <v>0.70138888888888884</v>
      </c>
      <c r="J338" s="31">
        <v>0.48819444444444443</v>
      </c>
      <c r="K338" s="30">
        <f>((K339-K309)/30)+K337</f>
        <v>38.466666666666612</v>
      </c>
      <c r="L338" s="30">
        <f>((L339-L309)/30)+L337</f>
        <v>33.300000000000082</v>
      </c>
      <c r="M338" s="90">
        <v>26.900000000000023</v>
      </c>
      <c r="N338" s="89">
        <f t="shared" si="51"/>
        <v>2.7766666666666726</v>
      </c>
      <c r="O338" s="106">
        <f t="shared" si="52"/>
        <v>42.900000000000041</v>
      </c>
      <c r="P338" s="108">
        <v>16.040000000000045</v>
      </c>
      <c r="Q338" s="108">
        <v>10</v>
      </c>
      <c r="R338" s="107">
        <v>23.033333333333285</v>
      </c>
      <c r="S338" s="41" t="s">
        <v>435</v>
      </c>
      <c r="T338" s="34" t="s">
        <v>435</v>
      </c>
      <c r="U338" s="33"/>
      <c r="V338" s="43"/>
      <c r="W338" s="47"/>
      <c r="X338" s="47"/>
      <c r="AC338" s="88"/>
    </row>
    <row r="339" spans="1:29" ht="15.95" customHeight="1" x14ac:dyDescent="0.25">
      <c r="A339" s="29" t="s">
        <v>376</v>
      </c>
      <c r="B339" s="31">
        <v>0.29791666666666666</v>
      </c>
      <c r="C339" s="31">
        <v>0.6791666666666667</v>
      </c>
      <c r="D339" s="31">
        <v>0.22638888888888889</v>
      </c>
      <c r="E339" s="31">
        <v>0.75069444444444444</v>
      </c>
      <c r="F339" s="31">
        <v>0.25069444444444444</v>
      </c>
      <c r="G339" s="31">
        <v>0.72638888888888886</v>
      </c>
      <c r="H339" s="31">
        <v>0.27569444444444446</v>
      </c>
      <c r="I339" s="31">
        <v>0.70138888888888884</v>
      </c>
      <c r="J339" s="31">
        <v>0.48819444444444443</v>
      </c>
      <c r="K339" s="30">
        <v>38</v>
      </c>
      <c r="L339" s="30">
        <v>33</v>
      </c>
      <c r="M339" s="90">
        <v>26.6</v>
      </c>
      <c r="N339" s="89">
        <v>2.7</v>
      </c>
      <c r="O339" s="106">
        <v>43</v>
      </c>
      <c r="P339" s="108">
        <v>15.8</v>
      </c>
      <c r="Q339" s="108">
        <v>10</v>
      </c>
      <c r="R339" s="107">
        <v>23</v>
      </c>
      <c r="S339" s="34" t="s">
        <v>431</v>
      </c>
      <c r="T339" s="34" t="s">
        <v>436</v>
      </c>
      <c r="U339" s="33"/>
      <c r="V339" s="43"/>
      <c r="W339" s="47"/>
      <c r="X339" s="47"/>
      <c r="AC339" s="30"/>
    </row>
    <row r="340" spans="1:29" ht="15.95" customHeight="1" x14ac:dyDescent="0.25">
      <c r="A340" s="29" t="s">
        <v>377</v>
      </c>
      <c r="B340" s="31">
        <v>0.2986111111111111</v>
      </c>
      <c r="C340" s="31">
        <v>0.6791666666666667</v>
      </c>
      <c r="D340" s="31">
        <v>0.22708333333333333</v>
      </c>
      <c r="E340" s="31">
        <v>0.75069444444444444</v>
      </c>
      <c r="F340" s="31">
        <v>0.25138888888888888</v>
      </c>
      <c r="G340" s="31">
        <v>0.72638888888888886</v>
      </c>
      <c r="H340" s="31">
        <v>0.27638888888888885</v>
      </c>
      <c r="I340" s="31">
        <v>0.70138888888888884</v>
      </c>
      <c r="J340" s="31">
        <v>0.48888888888888887</v>
      </c>
      <c r="K340" s="30">
        <f>((K4-K339)/31)+K339</f>
        <v>37.806451612903224</v>
      </c>
      <c r="L340" s="30">
        <f>((L4-L339)/31)+L339</f>
        <v>32.967741935483872</v>
      </c>
      <c r="M340" s="90">
        <v>26.6</v>
      </c>
      <c r="N340" s="89">
        <f>((($N$4-$N$339)/31)+N339)</f>
        <v>2.6967741935483871</v>
      </c>
      <c r="O340" s="106">
        <f>(($O$4-$O$339)/31)+O339</f>
        <v>43.096774193548384</v>
      </c>
      <c r="P340" s="108">
        <v>15.8</v>
      </c>
      <c r="Q340" s="108">
        <v>10</v>
      </c>
      <c r="R340" s="107">
        <v>23</v>
      </c>
      <c r="S340" s="34" t="s">
        <v>431</v>
      </c>
      <c r="T340" s="34" t="s">
        <v>436</v>
      </c>
      <c r="U340" s="33"/>
      <c r="V340" s="43"/>
      <c r="W340" s="47"/>
      <c r="X340" s="47"/>
      <c r="AC340" s="88"/>
    </row>
    <row r="341" spans="1:29" ht="15.95" customHeight="1" x14ac:dyDescent="0.25">
      <c r="A341" s="29" t="s">
        <v>378</v>
      </c>
      <c r="B341" s="31">
        <v>0.29930555555555555</v>
      </c>
      <c r="C341" s="31">
        <v>0.67847222222222225</v>
      </c>
      <c r="D341" s="31">
        <v>0.22777777777777777</v>
      </c>
      <c r="E341" s="31">
        <v>0.75</v>
      </c>
      <c r="F341" s="31">
        <v>0.25208333333333333</v>
      </c>
      <c r="G341" s="31">
        <v>0.72638888888888886</v>
      </c>
      <c r="H341" s="31">
        <v>0.27708333333333335</v>
      </c>
      <c r="I341" s="31">
        <v>0.70138888888888884</v>
      </c>
      <c r="J341" s="31">
        <v>0.48888888888888887</v>
      </c>
      <c r="K341" s="30">
        <f>((K4-K339)/31)+K340</f>
        <v>37.612903225806448</v>
      </c>
      <c r="L341" s="30">
        <f>((L4-L339)/31)+L340</f>
        <v>32.935483870967744</v>
      </c>
      <c r="M341" s="90">
        <v>26.6</v>
      </c>
      <c r="N341" s="89">
        <f t="shared" ref="N341:N369" si="53">((($N$4-$N$339)/31)+N340)</f>
        <v>2.693548387096774</v>
      </c>
      <c r="O341" s="106">
        <f t="shared" ref="O341:O369" si="54">(($O$4-$O$339)/31)+O340</f>
        <v>43.193548387096769</v>
      </c>
      <c r="P341" s="108">
        <v>15.8</v>
      </c>
      <c r="Q341" s="108">
        <v>10</v>
      </c>
      <c r="R341" s="107">
        <v>23</v>
      </c>
      <c r="S341" s="34" t="s">
        <v>431</v>
      </c>
      <c r="T341" s="34" t="s">
        <v>436</v>
      </c>
      <c r="U341" s="33"/>
      <c r="V341" s="43"/>
      <c r="W341" s="47"/>
      <c r="X341" s="47"/>
      <c r="AC341" s="88"/>
    </row>
    <row r="342" spans="1:29" ht="15.95" customHeight="1" x14ac:dyDescent="0.25">
      <c r="A342" s="29" t="s">
        <v>379</v>
      </c>
      <c r="B342" s="31">
        <v>0.3</v>
      </c>
      <c r="C342" s="31">
        <v>0.67847222222222225</v>
      </c>
      <c r="D342" s="31">
        <v>0.22847222222222222</v>
      </c>
      <c r="E342" s="31">
        <v>0.75</v>
      </c>
      <c r="F342" s="31">
        <v>0.25277777777777777</v>
      </c>
      <c r="G342" s="31">
        <v>0.72638888888888886</v>
      </c>
      <c r="H342" s="31">
        <v>0.27777777777777779</v>
      </c>
      <c r="I342" s="31">
        <v>0.70138888888888884</v>
      </c>
      <c r="J342" s="31">
        <v>0.48958333333333331</v>
      </c>
      <c r="K342" s="30">
        <f>((K4-K339)/31)+K341</f>
        <v>37.419354838709673</v>
      </c>
      <c r="L342" s="30">
        <f>((L4-L339)/31)+L341</f>
        <v>32.903225806451616</v>
      </c>
      <c r="M342" s="90">
        <v>26.6</v>
      </c>
      <c r="N342" s="89">
        <f t="shared" si="53"/>
        <v>2.6903225806451609</v>
      </c>
      <c r="O342" s="106">
        <f t="shared" si="54"/>
        <v>43.290322580645153</v>
      </c>
      <c r="P342" s="108">
        <v>15.8</v>
      </c>
      <c r="Q342" s="108">
        <v>10</v>
      </c>
      <c r="R342" s="107">
        <v>23</v>
      </c>
      <c r="S342" s="34" t="s">
        <v>431</v>
      </c>
      <c r="T342" s="34" t="s">
        <v>436</v>
      </c>
      <c r="U342" s="33"/>
      <c r="V342" s="43"/>
      <c r="W342" s="47"/>
      <c r="X342" s="47"/>
      <c r="AC342" s="88"/>
    </row>
    <row r="343" spans="1:29" ht="15.95" customHeight="1" x14ac:dyDescent="0.25">
      <c r="A343" s="29" t="s">
        <v>380</v>
      </c>
      <c r="B343" s="31">
        <v>0.30069444444444443</v>
      </c>
      <c r="C343" s="31">
        <v>0.67847222222222225</v>
      </c>
      <c r="D343" s="31">
        <v>0.22916666666666666</v>
      </c>
      <c r="E343" s="31">
        <v>0.75</v>
      </c>
      <c r="F343" s="31">
        <v>0.25277777777777777</v>
      </c>
      <c r="G343" s="31">
        <v>0.72638888888888886</v>
      </c>
      <c r="H343" s="31">
        <v>0.27847222222222223</v>
      </c>
      <c r="I343" s="31">
        <v>0.7006944444444444</v>
      </c>
      <c r="J343" s="31">
        <v>0.48958333333333331</v>
      </c>
      <c r="K343" s="30">
        <f>((K4-K339)/31)+K342</f>
        <v>37.225806451612897</v>
      </c>
      <c r="L343" s="30">
        <f>((L4-L339)/31)+L342</f>
        <v>32.870967741935488</v>
      </c>
      <c r="M343" s="90">
        <v>26.6</v>
      </c>
      <c r="N343" s="89">
        <f t="shared" si="53"/>
        <v>2.6870967741935479</v>
      </c>
      <c r="O343" s="106">
        <f t="shared" si="54"/>
        <v>43.387096774193537</v>
      </c>
      <c r="P343" s="108">
        <v>15.8</v>
      </c>
      <c r="Q343" s="108">
        <v>10</v>
      </c>
      <c r="R343" s="107">
        <v>23</v>
      </c>
      <c r="S343" s="34" t="s">
        <v>431</v>
      </c>
      <c r="T343" s="34" t="s">
        <v>436</v>
      </c>
      <c r="U343" s="33"/>
      <c r="V343" s="43"/>
      <c r="W343" s="47"/>
      <c r="X343" s="47"/>
      <c r="AC343" s="88"/>
    </row>
    <row r="344" spans="1:29" ht="15.95" customHeight="1" x14ac:dyDescent="0.25">
      <c r="A344" s="29" t="s">
        <v>381</v>
      </c>
      <c r="B344" s="31">
        <v>0.30138888888888887</v>
      </c>
      <c r="C344" s="31">
        <v>0.67847222222222225</v>
      </c>
      <c r="D344" s="31">
        <v>0.2298611111111111</v>
      </c>
      <c r="E344" s="31">
        <v>0.75</v>
      </c>
      <c r="F344" s="31">
        <v>0.25347222222222221</v>
      </c>
      <c r="G344" s="31">
        <v>0.72638888888888886</v>
      </c>
      <c r="H344" s="31">
        <v>0.27847222222222223</v>
      </c>
      <c r="I344" s="31">
        <v>0.7006944444444444</v>
      </c>
      <c r="J344" s="31">
        <v>0.49027777777777781</v>
      </c>
      <c r="K344" s="30">
        <f>((K4-K339)/31)+K343</f>
        <v>37.032258064516121</v>
      </c>
      <c r="L344" s="30">
        <f>((L4-L339)/31)+L343</f>
        <v>32.838709677419359</v>
      </c>
      <c r="M344" s="90">
        <v>26.6</v>
      </c>
      <c r="N344" s="89">
        <f t="shared" si="53"/>
        <v>2.6838709677419348</v>
      </c>
      <c r="O344" s="106">
        <f t="shared" si="54"/>
        <v>43.483870967741922</v>
      </c>
      <c r="P344" s="108">
        <v>15.8</v>
      </c>
      <c r="Q344" s="108">
        <v>10</v>
      </c>
      <c r="R344" s="107">
        <v>23</v>
      </c>
      <c r="S344" s="34" t="s">
        <v>431</v>
      </c>
      <c r="T344" s="34" t="s">
        <v>436</v>
      </c>
      <c r="U344" s="33"/>
      <c r="V344" s="43"/>
      <c r="W344" s="47"/>
      <c r="X344" s="47"/>
      <c r="AC344" s="88"/>
    </row>
    <row r="345" spans="1:29" ht="15.95" customHeight="1" x14ac:dyDescent="0.25">
      <c r="A345" s="29" t="s">
        <v>382</v>
      </c>
      <c r="B345" s="31">
        <v>0.30208333333333331</v>
      </c>
      <c r="C345" s="31">
        <v>0.67847222222222225</v>
      </c>
      <c r="D345" s="31">
        <v>0.2298611111111111</v>
      </c>
      <c r="E345" s="31">
        <v>0.75</v>
      </c>
      <c r="F345" s="31">
        <v>0.25416666666666665</v>
      </c>
      <c r="G345" s="31">
        <v>0.72638888888888886</v>
      </c>
      <c r="H345" s="31">
        <v>0.27916666666666667</v>
      </c>
      <c r="I345" s="31">
        <v>0.7006944444444444</v>
      </c>
      <c r="J345" s="31">
        <v>0.49027777777777781</v>
      </c>
      <c r="K345" s="30">
        <f>((K4-K339)/31)+K344</f>
        <v>36.838709677419345</v>
      </c>
      <c r="L345" s="30">
        <f>((L4-L339)/31)+L344</f>
        <v>32.806451612903231</v>
      </c>
      <c r="M345" s="90">
        <v>26.6</v>
      </c>
      <c r="N345" s="89">
        <f t="shared" si="53"/>
        <v>2.6806451612903217</v>
      </c>
      <c r="O345" s="106">
        <f t="shared" si="54"/>
        <v>43.580645161290306</v>
      </c>
      <c r="P345" s="108">
        <v>15.8</v>
      </c>
      <c r="Q345" s="108">
        <v>10</v>
      </c>
      <c r="R345" s="107">
        <v>23</v>
      </c>
      <c r="S345" s="34" t="s">
        <v>431</v>
      </c>
      <c r="T345" s="34" t="s">
        <v>436</v>
      </c>
      <c r="U345" s="33"/>
      <c r="V345" s="43"/>
      <c r="W345" s="47"/>
      <c r="X345" s="47"/>
      <c r="AC345" s="88"/>
    </row>
    <row r="346" spans="1:29" ht="15.95" customHeight="1" x14ac:dyDescent="0.25">
      <c r="A346" s="29" t="s">
        <v>383</v>
      </c>
      <c r="B346" s="31">
        <v>0.30277777777777776</v>
      </c>
      <c r="C346" s="31">
        <v>0.67847222222222225</v>
      </c>
      <c r="D346" s="31">
        <v>0.23055555555555554</v>
      </c>
      <c r="E346" s="31">
        <v>0.75</v>
      </c>
      <c r="F346" s="31">
        <v>0.25486111111111109</v>
      </c>
      <c r="G346" s="31">
        <v>0.72638888888888886</v>
      </c>
      <c r="H346" s="31">
        <v>0.27986111111111112</v>
      </c>
      <c r="I346" s="31">
        <v>0.7006944444444444</v>
      </c>
      <c r="J346" s="31">
        <v>0.49027777777777781</v>
      </c>
      <c r="K346" s="30">
        <f>((K4-K339)/31)+K345</f>
        <v>36.645161290322569</v>
      </c>
      <c r="L346" s="30">
        <f>((L4-L339)/31)+L345</f>
        <v>32.774193548387103</v>
      </c>
      <c r="M346" s="90">
        <v>26.6</v>
      </c>
      <c r="N346" s="89">
        <f t="shared" si="53"/>
        <v>2.6774193548387086</v>
      </c>
      <c r="O346" s="106">
        <f t="shared" si="54"/>
        <v>43.67741935483869</v>
      </c>
      <c r="P346" s="108">
        <v>15.8</v>
      </c>
      <c r="Q346" s="108">
        <v>10</v>
      </c>
      <c r="R346" s="107">
        <v>23</v>
      </c>
      <c r="S346" s="34" t="s">
        <v>431</v>
      </c>
      <c r="T346" s="34" t="s">
        <v>436</v>
      </c>
      <c r="U346" s="33"/>
      <c r="V346" s="43"/>
      <c r="W346" s="47"/>
      <c r="X346" s="47"/>
      <c r="AC346" s="88"/>
    </row>
    <row r="347" spans="1:29" ht="15.95" customHeight="1" x14ac:dyDescent="0.25">
      <c r="A347" s="29" t="s">
        <v>384</v>
      </c>
      <c r="B347" s="31">
        <v>0.3034722222222222</v>
      </c>
      <c r="C347" s="31">
        <v>0.67847222222222225</v>
      </c>
      <c r="D347" s="31">
        <v>0.23124999999999998</v>
      </c>
      <c r="E347" s="31">
        <v>0.75069444444444444</v>
      </c>
      <c r="F347" s="31">
        <v>0.25555555555555559</v>
      </c>
      <c r="G347" s="31">
        <v>0.72638888888888886</v>
      </c>
      <c r="H347" s="31">
        <v>0.28055555555555556</v>
      </c>
      <c r="I347" s="31">
        <v>0.7006944444444444</v>
      </c>
      <c r="J347" s="31">
        <v>0.4909722222222222</v>
      </c>
      <c r="K347" s="30">
        <f>((K4-K339)/31)+K346</f>
        <v>36.451612903225794</v>
      </c>
      <c r="L347" s="30">
        <f>((L4-L339)/31)+L346</f>
        <v>32.741935483870975</v>
      </c>
      <c r="M347" s="90">
        <v>26.6</v>
      </c>
      <c r="N347" s="89">
        <f t="shared" si="53"/>
        <v>2.6741935483870956</v>
      </c>
      <c r="O347" s="106">
        <f t="shared" si="54"/>
        <v>43.774193548387075</v>
      </c>
      <c r="P347" s="108">
        <v>15.8</v>
      </c>
      <c r="Q347" s="108">
        <v>10</v>
      </c>
      <c r="R347" s="107">
        <v>23</v>
      </c>
      <c r="S347" s="34" t="s">
        <v>431</v>
      </c>
      <c r="T347" s="34" t="s">
        <v>436</v>
      </c>
      <c r="U347" s="33"/>
      <c r="V347" s="43"/>
      <c r="W347" s="47"/>
      <c r="X347" s="47"/>
      <c r="AC347" s="88"/>
    </row>
    <row r="348" spans="1:29" ht="15.95" customHeight="1" x14ac:dyDescent="0.25">
      <c r="A348" s="29" t="s">
        <v>385</v>
      </c>
      <c r="B348" s="31">
        <v>0.30416666666666664</v>
      </c>
      <c r="C348" s="31">
        <v>0.67847222222222225</v>
      </c>
      <c r="D348" s="31">
        <v>0.23194444444444443</v>
      </c>
      <c r="E348" s="31">
        <v>0.75069444444444444</v>
      </c>
      <c r="F348" s="31">
        <v>0.25625000000000003</v>
      </c>
      <c r="G348" s="31">
        <v>0.72638888888888886</v>
      </c>
      <c r="H348" s="31">
        <v>0.28125</v>
      </c>
      <c r="I348" s="31">
        <v>0.70138888888888884</v>
      </c>
      <c r="J348" s="31">
        <v>0.4909722222222222</v>
      </c>
      <c r="K348" s="30">
        <f>((K4-K339)/31)+K347</f>
        <v>36.258064516129018</v>
      </c>
      <c r="L348" s="30">
        <f>((L4-L339)/31)+L347</f>
        <v>32.709677419354847</v>
      </c>
      <c r="M348" s="90">
        <v>26.6</v>
      </c>
      <c r="N348" s="89">
        <f t="shared" si="53"/>
        <v>2.6709677419354825</v>
      </c>
      <c r="O348" s="106">
        <f t="shared" si="54"/>
        <v>43.870967741935459</v>
      </c>
      <c r="P348" s="108">
        <v>15.8</v>
      </c>
      <c r="Q348" s="108">
        <v>10</v>
      </c>
      <c r="R348" s="107">
        <v>23</v>
      </c>
      <c r="S348" s="34" t="s">
        <v>431</v>
      </c>
      <c r="T348" s="34" t="s">
        <v>436</v>
      </c>
      <c r="U348" s="33"/>
      <c r="V348" s="43"/>
      <c r="W348" s="47"/>
      <c r="X348" s="47"/>
      <c r="AC348" s="88"/>
    </row>
    <row r="349" spans="1:29" ht="15.95" customHeight="1" x14ac:dyDescent="0.25">
      <c r="A349" s="29" t="s">
        <v>386</v>
      </c>
      <c r="B349" s="31">
        <v>0.30486111111111108</v>
      </c>
      <c r="C349" s="31">
        <v>0.67847222222222225</v>
      </c>
      <c r="D349" s="31">
        <v>0.23263888888888887</v>
      </c>
      <c r="E349" s="31">
        <v>0.75069444444444444</v>
      </c>
      <c r="F349" s="31">
        <v>0.25694444444444448</v>
      </c>
      <c r="G349" s="31">
        <v>0.72638888888888886</v>
      </c>
      <c r="H349" s="31">
        <v>0.28194444444444444</v>
      </c>
      <c r="I349" s="31">
        <v>0.70138888888888884</v>
      </c>
      <c r="J349" s="31">
        <v>0.4916666666666667</v>
      </c>
      <c r="K349" s="30">
        <f>((K4-K339)/31)+K348</f>
        <v>36.064516129032242</v>
      </c>
      <c r="L349" s="30">
        <f>((L4-L339)/31)+L348</f>
        <v>32.677419354838719</v>
      </c>
      <c r="M349" s="90">
        <v>26.6</v>
      </c>
      <c r="N349" s="89">
        <f t="shared" si="53"/>
        <v>2.6677419354838694</v>
      </c>
      <c r="O349" s="106">
        <f t="shared" si="54"/>
        <v>43.967741935483843</v>
      </c>
      <c r="P349" s="108">
        <v>15.8</v>
      </c>
      <c r="Q349" s="108">
        <v>10</v>
      </c>
      <c r="R349" s="107">
        <v>23</v>
      </c>
      <c r="S349" s="34" t="s">
        <v>431</v>
      </c>
      <c r="T349" s="34" t="s">
        <v>436</v>
      </c>
      <c r="U349" s="33"/>
      <c r="V349" s="43"/>
      <c r="W349" s="47"/>
      <c r="X349" s="47"/>
      <c r="AC349" s="88"/>
    </row>
    <row r="350" spans="1:29" ht="15.95" customHeight="1" x14ac:dyDescent="0.25">
      <c r="A350" s="29" t="s">
        <v>387</v>
      </c>
      <c r="B350" s="31">
        <v>0.30486111111111108</v>
      </c>
      <c r="C350" s="31">
        <v>0.67847222222222225</v>
      </c>
      <c r="D350" s="31">
        <v>0.23263888888888887</v>
      </c>
      <c r="E350" s="31">
        <v>0.75069444444444444</v>
      </c>
      <c r="F350" s="31">
        <v>0.25694444444444448</v>
      </c>
      <c r="G350" s="31">
        <v>0.72638888888888886</v>
      </c>
      <c r="H350" s="31">
        <v>0.28263888888888888</v>
      </c>
      <c r="I350" s="31">
        <v>0.70138888888888884</v>
      </c>
      <c r="J350" s="31">
        <v>0.4916666666666667</v>
      </c>
      <c r="K350" s="30">
        <f>((K4-K339)/31)+K349</f>
        <v>35.870967741935466</v>
      </c>
      <c r="L350" s="30">
        <f>((L4-L339)/31)+L349</f>
        <v>32.645161290322591</v>
      </c>
      <c r="M350" s="90">
        <v>26.6</v>
      </c>
      <c r="N350" s="89">
        <f t="shared" si="53"/>
        <v>2.6645161290322563</v>
      </c>
      <c r="O350" s="106">
        <f t="shared" si="54"/>
        <v>44.064516129032228</v>
      </c>
      <c r="P350" s="108">
        <v>15.8</v>
      </c>
      <c r="Q350" s="108">
        <v>10</v>
      </c>
      <c r="R350" s="107">
        <v>23</v>
      </c>
      <c r="S350" s="34" t="s">
        <v>431</v>
      </c>
      <c r="T350" s="34" t="s">
        <v>436</v>
      </c>
      <c r="U350" s="33"/>
      <c r="V350" s="43"/>
      <c r="W350" s="47"/>
      <c r="X350" s="47"/>
      <c r="AC350" s="88"/>
    </row>
    <row r="351" spans="1:29" ht="15.95" customHeight="1" x14ac:dyDescent="0.25">
      <c r="A351" s="29" t="s">
        <v>388</v>
      </c>
      <c r="B351" s="31">
        <v>0.30555555555555552</v>
      </c>
      <c r="C351" s="31">
        <v>0.67847222222222225</v>
      </c>
      <c r="D351" s="31">
        <v>0.23333333333333331</v>
      </c>
      <c r="E351" s="31">
        <v>0.75069444444444444</v>
      </c>
      <c r="F351" s="31">
        <v>0.25763888888888892</v>
      </c>
      <c r="G351" s="31">
        <v>0.72638888888888886</v>
      </c>
      <c r="H351" s="31">
        <v>0.28263888888888888</v>
      </c>
      <c r="I351" s="31">
        <v>0.70138888888888884</v>
      </c>
      <c r="J351" s="31">
        <v>0.49236111111111108</v>
      </c>
      <c r="K351" s="30">
        <f>((K4-K339)/31)+K350</f>
        <v>35.67741935483869</v>
      </c>
      <c r="L351" s="30">
        <f>((L4-L339)/31)+L350</f>
        <v>32.612903225806463</v>
      </c>
      <c r="M351" s="90">
        <v>26.6</v>
      </c>
      <c r="N351" s="89">
        <f t="shared" si="53"/>
        <v>2.6612903225806432</v>
      </c>
      <c r="O351" s="106">
        <f t="shared" si="54"/>
        <v>44.161290322580612</v>
      </c>
      <c r="P351" s="108">
        <v>15.8</v>
      </c>
      <c r="Q351" s="108">
        <v>10</v>
      </c>
      <c r="R351" s="107">
        <v>23</v>
      </c>
      <c r="S351" s="34" t="s">
        <v>431</v>
      </c>
      <c r="T351" s="34" t="s">
        <v>436</v>
      </c>
      <c r="U351" s="33"/>
      <c r="V351" s="43"/>
      <c r="W351" s="47"/>
      <c r="X351" s="47"/>
      <c r="AC351" s="88"/>
    </row>
    <row r="352" spans="1:29" ht="15.95" customHeight="1" x14ac:dyDescent="0.25">
      <c r="A352" s="29" t="s">
        <v>389</v>
      </c>
      <c r="B352" s="31">
        <v>0.30624999999999997</v>
      </c>
      <c r="C352" s="31">
        <v>0.67847222222222225</v>
      </c>
      <c r="D352" s="31">
        <v>0.23402777777777781</v>
      </c>
      <c r="E352" s="31">
        <v>0.75138888888888899</v>
      </c>
      <c r="F352" s="31">
        <v>0.25833333333333336</v>
      </c>
      <c r="G352" s="31">
        <v>0.7270833333333333</v>
      </c>
      <c r="H352" s="31">
        <v>0.28333333333333333</v>
      </c>
      <c r="I352" s="31">
        <v>0.70138888888888884</v>
      </c>
      <c r="J352" s="31">
        <v>0.49236111111111108</v>
      </c>
      <c r="K352" s="30">
        <f>((K4-K339)/31)+K351</f>
        <v>35.483870967741915</v>
      </c>
      <c r="L352" s="30">
        <f>((L4-L339)/31)+L351</f>
        <v>32.580645161290334</v>
      </c>
      <c r="M352" s="90">
        <v>26.6</v>
      </c>
      <c r="N352" s="89">
        <f t="shared" si="53"/>
        <v>2.6580645161290302</v>
      </c>
      <c r="O352" s="106">
        <f t="shared" si="54"/>
        <v>44.258064516128997</v>
      </c>
      <c r="P352" s="108">
        <v>15.8</v>
      </c>
      <c r="Q352" s="108">
        <v>10</v>
      </c>
      <c r="R352" s="107">
        <v>23</v>
      </c>
      <c r="S352" s="34" t="s">
        <v>431</v>
      </c>
      <c r="T352" s="34" t="s">
        <v>436</v>
      </c>
      <c r="U352" s="33"/>
      <c r="V352" s="43"/>
      <c r="W352" s="47"/>
      <c r="X352" s="47"/>
      <c r="AC352" s="88"/>
    </row>
    <row r="353" spans="1:29" ht="15.95" customHeight="1" x14ac:dyDescent="0.25">
      <c r="A353" s="29" t="s">
        <v>390</v>
      </c>
      <c r="B353" s="31">
        <v>0.30694444444444441</v>
      </c>
      <c r="C353" s="31">
        <v>0.6791666666666667</v>
      </c>
      <c r="D353" s="31">
        <v>0.23402777777777781</v>
      </c>
      <c r="E353" s="31">
        <v>0.75138888888888899</v>
      </c>
      <c r="F353" s="31">
        <v>0.25833333333333336</v>
      </c>
      <c r="G353" s="31">
        <v>0.7270833333333333</v>
      </c>
      <c r="H353" s="31">
        <v>0.28402777777777777</v>
      </c>
      <c r="I353" s="31">
        <v>0.70208333333333339</v>
      </c>
      <c r="J353" s="31">
        <v>0.49305555555555558</v>
      </c>
      <c r="K353" s="30">
        <f>((K4-K339)/31)+K352</f>
        <v>35.290322580645139</v>
      </c>
      <c r="L353" s="30">
        <f>((L4-L339)/31)+L352</f>
        <v>32.548387096774206</v>
      </c>
      <c r="M353" s="90">
        <v>26.6</v>
      </c>
      <c r="N353" s="89">
        <f t="shared" si="53"/>
        <v>2.6548387096774171</v>
      </c>
      <c r="O353" s="106">
        <f t="shared" si="54"/>
        <v>44.354838709677381</v>
      </c>
      <c r="P353" s="108">
        <v>15.8</v>
      </c>
      <c r="Q353" s="108">
        <v>10</v>
      </c>
      <c r="R353" s="107">
        <v>23</v>
      </c>
      <c r="S353" s="34" t="s">
        <v>431</v>
      </c>
      <c r="T353" s="34" t="s">
        <v>436</v>
      </c>
      <c r="U353" s="33"/>
      <c r="V353" s="43"/>
      <c r="W353" s="47"/>
      <c r="X353" s="47"/>
      <c r="AC353" s="88"/>
    </row>
    <row r="354" spans="1:29" ht="15.95" customHeight="1" x14ac:dyDescent="0.25">
      <c r="A354" s="29" t="s">
        <v>391</v>
      </c>
      <c r="B354" s="31">
        <v>0.30694444444444441</v>
      </c>
      <c r="C354" s="31">
        <v>0.6791666666666667</v>
      </c>
      <c r="D354" s="31">
        <v>0.23472222222222219</v>
      </c>
      <c r="E354" s="31">
        <v>0.75138888888888899</v>
      </c>
      <c r="F354" s="31">
        <v>0.2590277777777778</v>
      </c>
      <c r="G354" s="31">
        <v>0.7270833333333333</v>
      </c>
      <c r="H354" s="31">
        <v>0.28402777777777777</v>
      </c>
      <c r="I354" s="31">
        <v>0.70208333333333339</v>
      </c>
      <c r="J354" s="31">
        <v>0.49305555555555558</v>
      </c>
      <c r="K354" s="30">
        <f>((K4-K339)/31)+K353</f>
        <v>35.096774193548363</v>
      </c>
      <c r="L354" s="30">
        <f>((L4-L339)/31)+L353</f>
        <v>32.516129032258078</v>
      </c>
      <c r="M354" s="90">
        <v>26.6</v>
      </c>
      <c r="N354" s="89">
        <f t="shared" si="53"/>
        <v>2.651612903225804</v>
      </c>
      <c r="O354" s="106">
        <f t="shared" si="54"/>
        <v>44.451612903225765</v>
      </c>
      <c r="P354" s="108">
        <v>15.8</v>
      </c>
      <c r="Q354" s="108">
        <v>10</v>
      </c>
      <c r="R354" s="107">
        <v>23</v>
      </c>
      <c r="S354" s="34" t="s">
        <v>431</v>
      </c>
      <c r="T354" s="34" t="s">
        <v>436</v>
      </c>
      <c r="U354" s="33"/>
      <c r="V354" s="43"/>
      <c r="W354" s="47"/>
      <c r="X354" s="47"/>
      <c r="AC354" s="88"/>
    </row>
    <row r="355" spans="1:29" ht="15.95" customHeight="1" x14ac:dyDescent="0.25">
      <c r="A355" s="29" t="s">
        <v>392</v>
      </c>
      <c r="B355" s="31">
        <v>0.30763888888888891</v>
      </c>
      <c r="C355" s="31">
        <v>0.6791666666666667</v>
      </c>
      <c r="D355" s="31">
        <v>0.23541666666666669</v>
      </c>
      <c r="E355" s="31">
        <v>0.75208333333333333</v>
      </c>
      <c r="F355" s="31">
        <v>0.25972222222222224</v>
      </c>
      <c r="G355" s="31">
        <v>0.72777777777777775</v>
      </c>
      <c r="H355" s="31">
        <v>0.28472222222222221</v>
      </c>
      <c r="I355" s="31">
        <v>0.70208333333333339</v>
      </c>
      <c r="J355" s="31">
        <v>0.49374999999999997</v>
      </c>
      <c r="K355" s="30">
        <f>((K4-K339)/31)+K354</f>
        <v>34.903225806451587</v>
      </c>
      <c r="L355" s="30">
        <f>((L4-L339)/31)+L354</f>
        <v>32.48387096774195</v>
      </c>
      <c r="M355" s="90">
        <v>26.6</v>
      </c>
      <c r="N355" s="89">
        <f t="shared" si="53"/>
        <v>2.6483870967741909</v>
      </c>
      <c r="O355" s="106">
        <f t="shared" si="54"/>
        <v>44.54838709677415</v>
      </c>
      <c r="P355" s="108">
        <v>15.8</v>
      </c>
      <c r="Q355" s="108">
        <v>10</v>
      </c>
      <c r="R355" s="107">
        <v>23</v>
      </c>
      <c r="S355" s="34" t="s">
        <v>431</v>
      </c>
      <c r="T355" s="34" t="s">
        <v>436</v>
      </c>
      <c r="U355" s="33"/>
      <c r="V355" s="43"/>
      <c r="W355" s="47"/>
      <c r="X355" s="47"/>
      <c r="AC355" s="88"/>
    </row>
    <row r="356" spans="1:29" ht="15.95" customHeight="1" x14ac:dyDescent="0.25">
      <c r="A356" s="29" t="s">
        <v>393</v>
      </c>
      <c r="B356" s="31">
        <v>0.30833333333333335</v>
      </c>
      <c r="C356" s="31">
        <v>0.67986111111111114</v>
      </c>
      <c r="D356" s="31">
        <v>0.23541666666666669</v>
      </c>
      <c r="E356" s="31">
        <v>0.75208333333333333</v>
      </c>
      <c r="F356" s="31">
        <v>0.25972222222222224</v>
      </c>
      <c r="G356" s="31">
        <v>0.72777777777777775</v>
      </c>
      <c r="H356" s="31">
        <v>0.28541666666666665</v>
      </c>
      <c r="I356" s="31">
        <v>0.70277777777777783</v>
      </c>
      <c r="J356" s="31">
        <v>0.49374999999999997</v>
      </c>
      <c r="K356" s="30">
        <f>((K4-K339)/31)+K355</f>
        <v>34.709677419354811</v>
      </c>
      <c r="L356" s="30">
        <f>((L4-L339)/31)+L355</f>
        <v>32.451612903225822</v>
      </c>
      <c r="M356" s="90">
        <v>26.6</v>
      </c>
      <c r="N356" s="89">
        <f t="shared" si="53"/>
        <v>2.6451612903225779</v>
      </c>
      <c r="O356" s="106">
        <f t="shared" si="54"/>
        <v>44.645161290322534</v>
      </c>
      <c r="P356" s="108">
        <v>15.8</v>
      </c>
      <c r="Q356" s="108">
        <v>10</v>
      </c>
      <c r="R356" s="107">
        <v>23</v>
      </c>
      <c r="S356" s="34" t="s">
        <v>431</v>
      </c>
      <c r="T356" s="34" t="s">
        <v>436</v>
      </c>
      <c r="U356" s="33"/>
      <c r="V356" s="43"/>
      <c r="W356" s="47"/>
      <c r="X356" s="47"/>
      <c r="AC356" s="88"/>
    </row>
    <row r="357" spans="1:29" ht="15.95" customHeight="1" x14ac:dyDescent="0.25">
      <c r="A357" s="29" t="s">
        <v>394</v>
      </c>
      <c r="B357" s="31">
        <v>0.30833333333333335</v>
      </c>
      <c r="C357" s="31">
        <v>0.67986111111111114</v>
      </c>
      <c r="D357" s="31">
        <v>0.23611111111111113</v>
      </c>
      <c r="E357" s="31">
        <v>0.75277777777777777</v>
      </c>
      <c r="F357" s="31">
        <v>0.26041666666666669</v>
      </c>
      <c r="G357" s="31">
        <v>0.72777777777777775</v>
      </c>
      <c r="H357" s="31">
        <v>0.28541666666666665</v>
      </c>
      <c r="I357" s="31">
        <v>0.70277777777777783</v>
      </c>
      <c r="J357" s="31">
        <v>0.49444444444444446</v>
      </c>
      <c r="K357" s="30">
        <f>((K4-K339)/31)+K356</f>
        <v>34.516129032258036</v>
      </c>
      <c r="L357" s="30">
        <f>((L4-L339)/31)+L356</f>
        <v>32.419354838709694</v>
      </c>
      <c r="M357" s="90">
        <v>26.6</v>
      </c>
      <c r="N357" s="89">
        <f t="shared" si="53"/>
        <v>2.6419354838709648</v>
      </c>
      <c r="O357" s="106">
        <f t="shared" si="54"/>
        <v>44.741935483870918</v>
      </c>
      <c r="P357" s="108">
        <v>15.8</v>
      </c>
      <c r="Q357" s="108">
        <v>10</v>
      </c>
      <c r="R357" s="107">
        <v>23</v>
      </c>
      <c r="S357" s="34" t="s">
        <v>431</v>
      </c>
      <c r="T357" s="34" t="s">
        <v>436</v>
      </c>
      <c r="U357" s="33"/>
      <c r="V357" s="43"/>
      <c r="W357" s="47"/>
      <c r="X357" s="47"/>
      <c r="AC357" s="88"/>
    </row>
    <row r="358" spans="1:29" ht="15.95" customHeight="1" x14ac:dyDescent="0.25">
      <c r="A358" s="29" t="s">
        <v>395</v>
      </c>
      <c r="B358" s="31">
        <v>0.30902777777777779</v>
      </c>
      <c r="C358" s="31">
        <v>0.68055555555555547</v>
      </c>
      <c r="D358" s="31">
        <v>0.23611111111111113</v>
      </c>
      <c r="E358" s="31">
        <v>0.75277777777777777</v>
      </c>
      <c r="F358" s="31">
        <v>0.26041666666666669</v>
      </c>
      <c r="G358" s="31">
        <v>0.7284722222222223</v>
      </c>
      <c r="H358" s="31">
        <v>0.28611111111111115</v>
      </c>
      <c r="I358" s="31">
        <v>0.70347222222222217</v>
      </c>
      <c r="J358" s="31">
        <v>0.49444444444444446</v>
      </c>
      <c r="K358" s="30">
        <f>((K4-K339)/31)+K357</f>
        <v>34.32258064516126</v>
      </c>
      <c r="L358" s="30">
        <f>((L4-L339)/31)+L357</f>
        <v>32.387096774193566</v>
      </c>
      <c r="M358" s="90">
        <v>26.6</v>
      </c>
      <c r="N358" s="89">
        <f t="shared" si="53"/>
        <v>2.6387096774193517</v>
      </c>
      <c r="O358" s="106">
        <f t="shared" si="54"/>
        <v>44.838709677419303</v>
      </c>
      <c r="P358" s="108">
        <v>15.8</v>
      </c>
      <c r="Q358" s="108">
        <v>10</v>
      </c>
      <c r="R358" s="107">
        <v>23</v>
      </c>
      <c r="S358" s="34" t="s">
        <v>431</v>
      </c>
      <c r="T358" s="34" t="s">
        <v>436</v>
      </c>
      <c r="U358" s="33"/>
      <c r="V358" s="43"/>
      <c r="W358" s="47"/>
      <c r="X358" s="47"/>
      <c r="AC358" s="88"/>
    </row>
    <row r="359" spans="1:29" ht="15.95" customHeight="1" x14ac:dyDescent="0.25">
      <c r="A359" s="29" t="s">
        <v>396</v>
      </c>
      <c r="B359" s="31">
        <v>0.30902777777777779</v>
      </c>
      <c r="C359" s="31">
        <v>0.68055555555555547</v>
      </c>
      <c r="D359" s="31">
        <v>0.23680555555555557</v>
      </c>
      <c r="E359" s="31">
        <v>0.75277777777777777</v>
      </c>
      <c r="F359" s="31">
        <v>0.26111111111111113</v>
      </c>
      <c r="G359" s="31">
        <v>0.7284722222222223</v>
      </c>
      <c r="H359" s="31">
        <v>0.28611111111111115</v>
      </c>
      <c r="I359" s="31">
        <v>0.70347222222222217</v>
      </c>
      <c r="J359" s="31">
        <v>0.49513888888888885</v>
      </c>
      <c r="K359" s="30">
        <f>((K4-K339)/31)+K358</f>
        <v>34.129032258064484</v>
      </c>
      <c r="L359" s="30">
        <f>((L4-L339)/31)+L358</f>
        <v>32.354838709677438</v>
      </c>
      <c r="M359" s="90">
        <v>26.6</v>
      </c>
      <c r="N359" s="89">
        <f t="shared" si="53"/>
        <v>2.6354838709677386</v>
      </c>
      <c r="O359" s="106">
        <f t="shared" si="54"/>
        <v>44.935483870967687</v>
      </c>
      <c r="P359" s="108">
        <v>15.8</v>
      </c>
      <c r="Q359" s="108">
        <v>10</v>
      </c>
      <c r="R359" s="107">
        <v>23</v>
      </c>
      <c r="S359" s="34" t="s">
        <v>431</v>
      </c>
      <c r="T359" s="34" t="s">
        <v>436</v>
      </c>
      <c r="U359" s="33"/>
      <c r="V359" s="43"/>
      <c r="W359" s="47"/>
      <c r="X359" s="47"/>
      <c r="AC359" s="88"/>
    </row>
    <row r="360" spans="1:29" ht="15.95" customHeight="1" x14ac:dyDescent="0.25">
      <c r="A360" s="29" t="s">
        <v>397</v>
      </c>
      <c r="B360" s="31">
        <v>0.30972222222222223</v>
      </c>
      <c r="C360" s="31">
        <v>0.68125000000000002</v>
      </c>
      <c r="D360" s="31">
        <v>0.23680555555555557</v>
      </c>
      <c r="E360" s="31">
        <v>0.75347222222222221</v>
      </c>
      <c r="F360" s="31">
        <v>0.26111111111111113</v>
      </c>
      <c r="G360" s="31">
        <v>0.72916666666666663</v>
      </c>
      <c r="H360" s="31">
        <v>0.28680555555555554</v>
      </c>
      <c r="I360" s="31">
        <v>0.70416666666666661</v>
      </c>
      <c r="J360" s="31">
        <v>0.49513888888888885</v>
      </c>
      <c r="K360" s="30">
        <f>((K4-K339)/31)+K359</f>
        <v>33.935483870967708</v>
      </c>
      <c r="L360" s="30">
        <f>((L4-L339)/31)+L359</f>
        <v>32.32258064516131</v>
      </c>
      <c r="M360" s="90">
        <v>26.6</v>
      </c>
      <c r="N360" s="89">
        <f t="shared" si="53"/>
        <v>2.6322580645161255</v>
      </c>
      <c r="O360" s="106">
        <f t="shared" si="54"/>
        <v>45.032258064516071</v>
      </c>
      <c r="P360" s="108">
        <v>15.8</v>
      </c>
      <c r="Q360" s="108">
        <v>10</v>
      </c>
      <c r="R360" s="107">
        <v>23</v>
      </c>
      <c r="S360" s="34" t="s">
        <v>431</v>
      </c>
      <c r="T360" s="34" t="s">
        <v>436</v>
      </c>
      <c r="U360" s="33"/>
      <c r="V360" s="43"/>
      <c r="W360" s="47"/>
      <c r="X360" s="47"/>
      <c r="AC360" s="88"/>
    </row>
    <row r="361" spans="1:29" ht="15.95" customHeight="1" x14ac:dyDescent="0.25">
      <c r="A361" s="29" t="s">
        <v>398</v>
      </c>
      <c r="B361" s="31">
        <v>0.30972222222222223</v>
      </c>
      <c r="C361" s="31">
        <v>0.68125000000000002</v>
      </c>
      <c r="D361" s="31">
        <v>0.23750000000000002</v>
      </c>
      <c r="E361" s="31">
        <v>0.75416666666666676</v>
      </c>
      <c r="F361" s="31">
        <v>0.26180555555555557</v>
      </c>
      <c r="G361" s="31">
        <v>0.72986111111111107</v>
      </c>
      <c r="H361" s="31">
        <v>0.28680555555555554</v>
      </c>
      <c r="I361" s="31">
        <v>0.70416666666666661</v>
      </c>
      <c r="J361" s="31">
        <v>0.49583333333333335</v>
      </c>
      <c r="K361" s="30">
        <f>((K4-K339)/31)+K360</f>
        <v>33.741935483870932</v>
      </c>
      <c r="L361" s="30">
        <f>((L4-L339)/31)+L360</f>
        <v>32.290322580645181</v>
      </c>
      <c r="M361" s="90">
        <v>26.6</v>
      </c>
      <c r="N361" s="89">
        <f t="shared" si="53"/>
        <v>2.6290322580645125</v>
      </c>
      <c r="O361" s="106">
        <f t="shared" si="54"/>
        <v>45.129032258064456</v>
      </c>
      <c r="P361" s="108">
        <v>15.8</v>
      </c>
      <c r="Q361" s="108">
        <v>10</v>
      </c>
      <c r="R361" s="107">
        <v>23</v>
      </c>
      <c r="S361" s="34" t="s">
        <v>431</v>
      </c>
      <c r="T361" s="34" t="s">
        <v>436</v>
      </c>
      <c r="U361" s="33"/>
      <c r="V361" s="43"/>
      <c r="W361" s="47"/>
      <c r="X361" s="47"/>
      <c r="AC361" s="88"/>
    </row>
    <row r="362" spans="1:29" ht="15.95" customHeight="1" x14ac:dyDescent="0.25">
      <c r="A362" s="29" t="s">
        <v>399</v>
      </c>
      <c r="B362" s="31">
        <v>0.31041666666666667</v>
      </c>
      <c r="C362" s="31">
        <v>0.68194444444444446</v>
      </c>
      <c r="D362" s="31">
        <v>0.23750000000000002</v>
      </c>
      <c r="E362" s="31">
        <v>0.75416666666666676</v>
      </c>
      <c r="F362" s="31">
        <v>0.26180555555555557</v>
      </c>
      <c r="G362" s="31">
        <v>0.72986111111111107</v>
      </c>
      <c r="H362" s="31">
        <v>0.28750000000000003</v>
      </c>
      <c r="I362" s="31">
        <v>0.70486111111111116</v>
      </c>
      <c r="J362" s="31">
        <v>0.49583333333333335</v>
      </c>
      <c r="K362" s="30">
        <f>((K4-K339)/31)+K361</f>
        <v>33.548387096774157</v>
      </c>
      <c r="L362" s="30">
        <f>((L4-L339)/31)+L361</f>
        <v>32.258064516129053</v>
      </c>
      <c r="M362" s="90">
        <v>26.6</v>
      </c>
      <c r="N362" s="89">
        <f t="shared" si="53"/>
        <v>2.6258064516128994</v>
      </c>
      <c r="O362" s="106">
        <f t="shared" si="54"/>
        <v>45.22580645161284</v>
      </c>
      <c r="P362" s="108">
        <v>15.8</v>
      </c>
      <c r="Q362" s="108">
        <v>10</v>
      </c>
      <c r="R362" s="107">
        <v>23</v>
      </c>
      <c r="S362" s="34" t="s">
        <v>431</v>
      </c>
      <c r="T362" s="34" t="s">
        <v>436</v>
      </c>
      <c r="U362" s="33"/>
      <c r="V362" s="43"/>
      <c r="W362" s="47"/>
      <c r="X362" s="47"/>
      <c r="AC362" s="88"/>
    </row>
    <row r="363" spans="1:29" ht="15.95" customHeight="1" x14ac:dyDescent="0.25">
      <c r="A363" s="29" t="s">
        <v>400</v>
      </c>
      <c r="B363" s="31">
        <v>0.31041666666666667</v>
      </c>
      <c r="C363" s="31">
        <v>0.68194444444444446</v>
      </c>
      <c r="D363" s="31">
        <v>0.23819444444444446</v>
      </c>
      <c r="E363" s="31">
        <v>0.75486111111111109</v>
      </c>
      <c r="F363" s="31">
        <v>0.26250000000000001</v>
      </c>
      <c r="G363" s="31">
        <v>0.73055555555555562</v>
      </c>
      <c r="H363" s="31">
        <v>0.28750000000000003</v>
      </c>
      <c r="I363" s="31">
        <v>0.70486111111111116</v>
      </c>
      <c r="J363" s="31">
        <v>0.49652777777777773</v>
      </c>
      <c r="K363" s="30">
        <f>((K4-K339)/31)+K362</f>
        <v>33.354838709677381</v>
      </c>
      <c r="L363" s="30">
        <f>((L4-L339)/31)+L362</f>
        <v>32.225806451612925</v>
      </c>
      <c r="M363" s="90">
        <v>26.6</v>
      </c>
      <c r="N363" s="89">
        <f t="shared" si="53"/>
        <v>2.6225806451612863</v>
      </c>
      <c r="O363" s="106">
        <f t="shared" si="54"/>
        <v>45.322580645161224</v>
      </c>
      <c r="P363" s="108">
        <v>15.8</v>
      </c>
      <c r="Q363" s="108">
        <v>10</v>
      </c>
      <c r="R363" s="107">
        <v>23</v>
      </c>
      <c r="S363" s="34" t="s">
        <v>431</v>
      </c>
      <c r="T363" s="34" t="s">
        <v>436</v>
      </c>
      <c r="U363" s="33"/>
      <c r="V363" s="43"/>
      <c r="W363" s="47"/>
      <c r="X363" s="47"/>
      <c r="AC363" s="88"/>
    </row>
    <row r="364" spans="1:29" ht="15.95" customHeight="1" x14ac:dyDescent="0.25">
      <c r="A364" s="29" t="s">
        <v>401</v>
      </c>
      <c r="B364" s="31">
        <v>0.31041666666666667</v>
      </c>
      <c r="C364" s="31">
        <v>0.68263888888888891</v>
      </c>
      <c r="D364" s="31">
        <v>0.23819444444444446</v>
      </c>
      <c r="E364" s="31">
        <v>0.75486111111111109</v>
      </c>
      <c r="F364" s="31">
        <v>0.26250000000000001</v>
      </c>
      <c r="G364" s="31">
        <v>0.73055555555555562</v>
      </c>
      <c r="H364" s="31">
        <v>0.28750000000000003</v>
      </c>
      <c r="I364" s="31">
        <v>0.7055555555555556</v>
      </c>
      <c r="J364" s="31">
        <v>0.49652777777777773</v>
      </c>
      <c r="K364" s="30">
        <f>((K4-K339)/31)+K363</f>
        <v>33.161290322580605</v>
      </c>
      <c r="L364" s="30">
        <f>((L4-L339)/31)+L363</f>
        <v>32.193548387096797</v>
      </c>
      <c r="M364" s="90">
        <v>26.6</v>
      </c>
      <c r="N364" s="89">
        <f t="shared" si="53"/>
        <v>2.6193548387096732</v>
      </c>
      <c r="O364" s="106">
        <f t="shared" si="54"/>
        <v>45.419354838709609</v>
      </c>
      <c r="P364" s="108">
        <v>15.8</v>
      </c>
      <c r="Q364" s="108">
        <v>10</v>
      </c>
      <c r="R364" s="107">
        <v>23</v>
      </c>
      <c r="S364" s="34" t="s">
        <v>431</v>
      </c>
      <c r="T364" s="34" t="s">
        <v>436</v>
      </c>
      <c r="U364" s="33"/>
      <c r="V364" s="43"/>
      <c r="W364" s="47"/>
      <c r="X364" s="47"/>
      <c r="AC364" s="88"/>
    </row>
    <row r="365" spans="1:29" ht="15.95" customHeight="1" x14ac:dyDescent="0.25">
      <c r="A365" s="29" t="s">
        <v>402</v>
      </c>
      <c r="B365" s="31">
        <v>0.31111111111111112</v>
      </c>
      <c r="C365" s="31">
        <v>0.68333333333333324</v>
      </c>
      <c r="D365" s="31">
        <v>0.23819444444444446</v>
      </c>
      <c r="E365" s="31">
        <v>0.75555555555555554</v>
      </c>
      <c r="F365" s="31">
        <v>0.26250000000000001</v>
      </c>
      <c r="G365" s="31">
        <v>0.73125000000000007</v>
      </c>
      <c r="H365" s="31">
        <v>0.28819444444444448</v>
      </c>
      <c r="I365" s="31">
        <v>0.70624999999999993</v>
      </c>
      <c r="J365" s="31">
        <v>0.49722222222222223</v>
      </c>
      <c r="K365" s="30">
        <f>((K4-K339)/31)+K364</f>
        <v>32.967741935483829</v>
      </c>
      <c r="L365" s="30">
        <f>((L4-L339)/31)+L364</f>
        <v>32.161290322580669</v>
      </c>
      <c r="M365" s="90">
        <v>26.6</v>
      </c>
      <c r="N365" s="89">
        <f t="shared" si="53"/>
        <v>2.6161290322580601</v>
      </c>
      <c r="O365" s="106">
        <f t="shared" si="54"/>
        <v>45.516129032257993</v>
      </c>
      <c r="P365" s="108">
        <v>15.8</v>
      </c>
      <c r="Q365" s="108">
        <v>10</v>
      </c>
      <c r="R365" s="107">
        <v>23</v>
      </c>
      <c r="S365" s="34" t="s">
        <v>431</v>
      </c>
      <c r="T365" s="34" t="s">
        <v>436</v>
      </c>
      <c r="U365" s="33"/>
      <c r="V365" s="43"/>
      <c r="W365" s="47"/>
      <c r="X365" s="47"/>
      <c r="AC365" s="88"/>
    </row>
    <row r="366" spans="1:29" ht="15.95" customHeight="1" x14ac:dyDescent="0.25">
      <c r="A366" s="29" t="s">
        <v>403</v>
      </c>
      <c r="B366" s="31">
        <v>0.31111111111111112</v>
      </c>
      <c r="C366" s="31">
        <v>0.68402777777777779</v>
      </c>
      <c r="D366" s="31">
        <v>0.2388888888888889</v>
      </c>
      <c r="E366" s="31">
        <v>0.75624999999999998</v>
      </c>
      <c r="F366" s="31">
        <v>0.26319444444444445</v>
      </c>
      <c r="G366" s="31">
        <v>0.7319444444444444</v>
      </c>
      <c r="H366" s="31">
        <v>0.28819444444444448</v>
      </c>
      <c r="I366" s="31">
        <v>0.70624999999999993</v>
      </c>
      <c r="J366" s="31">
        <v>0.49722222222222223</v>
      </c>
      <c r="K366" s="30">
        <f>((K4-K339)/31)+K365</f>
        <v>32.774193548387053</v>
      </c>
      <c r="L366" s="30">
        <f>((L4-L339)/31)+L365</f>
        <v>32.129032258064541</v>
      </c>
      <c r="M366" s="90">
        <v>26.6</v>
      </c>
      <c r="N366" s="89">
        <f t="shared" si="53"/>
        <v>2.6129032258064471</v>
      </c>
      <c r="O366" s="106">
        <f t="shared" si="54"/>
        <v>45.612903225806377</v>
      </c>
      <c r="P366" s="108">
        <v>15.8</v>
      </c>
      <c r="Q366" s="108">
        <v>10</v>
      </c>
      <c r="R366" s="107">
        <v>23</v>
      </c>
      <c r="S366" s="34" t="s">
        <v>431</v>
      </c>
      <c r="T366" s="34" t="s">
        <v>436</v>
      </c>
      <c r="U366" s="33"/>
      <c r="V366" s="43"/>
      <c r="W366" s="47"/>
      <c r="X366" s="47"/>
      <c r="AC366" s="88"/>
    </row>
    <row r="367" spans="1:29" ht="15.95" customHeight="1" x14ac:dyDescent="0.25">
      <c r="A367" s="29" t="s">
        <v>404</v>
      </c>
      <c r="B367" s="31">
        <v>0.31111111111111112</v>
      </c>
      <c r="C367" s="31">
        <v>0.68402777777777779</v>
      </c>
      <c r="D367" s="31">
        <v>0.2388888888888889</v>
      </c>
      <c r="E367" s="31">
        <v>0.75694444444444453</v>
      </c>
      <c r="F367" s="31">
        <v>0.26319444444444445</v>
      </c>
      <c r="G367" s="31">
        <v>0.73263888888888884</v>
      </c>
      <c r="H367" s="31">
        <v>0.28819444444444448</v>
      </c>
      <c r="I367" s="31">
        <v>0.70694444444444438</v>
      </c>
      <c r="J367" s="31">
        <v>0.49791666666666662</v>
      </c>
      <c r="K367" s="30">
        <f>((K4-K339)/31)+K366</f>
        <v>32.580645161290278</v>
      </c>
      <c r="L367" s="30">
        <f>((L4-L339)/31)+L366</f>
        <v>32.096774193548413</v>
      </c>
      <c r="M367" s="90">
        <v>26.6</v>
      </c>
      <c r="N367" s="89">
        <f t="shared" si="53"/>
        <v>2.609677419354834</v>
      </c>
      <c r="O367" s="106">
        <f t="shared" si="54"/>
        <v>45.709677419354762</v>
      </c>
      <c r="P367" s="108">
        <v>15.8</v>
      </c>
      <c r="Q367" s="108">
        <v>10</v>
      </c>
      <c r="R367" s="107">
        <v>23</v>
      </c>
      <c r="S367" s="34" t="s">
        <v>431</v>
      </c>
      <c r="T367" s="34" t="s">
        <v>436</v>
      </c>
      <c r="U367" s="33"/>
      <c r="V367" s="43"/>
      <c r="W367" s="47"/>
      <c r="X367" s="47"/>
      <c r="AC367" s="88"/>
    </row>
    <row r="368" spans="1:29" ht="15.95" customHeight="1" x14ac:dyDescent="0.25">
      <c r="A368" s="29" t="s">
        <v>405</v>
      </c>
      <c r="B368" s="31">
        <v>0.31111111111111112</v>
      </c>
      <c r="C368" s="31">
        <v>0.68472222222222223</v>
      </c>
      <c r="D368" s="31">
        <v>0.2388888888888889</v>
      </c>
      <c r="E368" s="31">
        <v>0.75694444444444453</v>
      </c>
      <c r="F368" s="31">
        <v>0.26319444444444445</v>
      </c>
      <c r="G368" s="31">
        <v>0.73263888888888884</v>
      </c>
      <c r="H368" s="31">
        <v>0.28819444444444448</v>
      </c>
      <c r="I368" s="31">
        <v>0.70763888888888893</v>
      </c>
      <c r="J368" s="31">
        <v>0.49791666666666662</v>
      </c>
      <c r="K368" s="30">
        <f>((K4-K339)/31)+K367</f>
        <v>32.387096774193502</v>
      </c>
      <c r="L368" s="30">
        <f>((L4-L339)/31)+L367</f>
        <v>32.064516129032285</v>
      </c>
      <c r="M368" s="90">
        <v>26.6</v>
      </c>
      <c r="N368" s="89">
        <f t="shared" si="53"/>
        <v>2.6064516129032209</v>
      </c>
      <c r="O368" s="106">
        <f t="shared" si="54"/>
        <v>45.806451612903146</v>
      </c>
      <c r="P368" s="108">
        <v>15.8</v>
      </c>
      <c r="Q368" s="108">
        <v>10</v>
      </c>
      <c r="R368" s="107">
        <v>23</v>
      </c>
      <c r="S368" s="34" t="s">
        <v>431</v>
      </c>
      <c r="T368" s="34" t="s">
        <v>436</v>
      </c>
      <c r="U368" s="33"/>
      <c r="V368" s="43"/>
      <c r="W368" s="47"/>
      <c r="X368" s="47"/>
      <c r="AC368" s="88"/>
    </row>
    <row r="369" spans="1:29" ht="15.95" customHeight="1" x14ac:dyDescent="0.25">
      <c r="A369" s="29" t="s">
        <v>406</v>
      </c>
      <c r="B369" s="31">
        <v>0.31111111111111112</v>
      </c>
      <c r="C369" s="31">
        <v>0.68541666666666667</v>
      </c>
      <c r="D369" s="31">
        <v>0.2388888888888889</v>
      </c>
      <c r="E369" s="31">
        <v>0.75763888888888886</v>
      </c>
      <c r="F369" s="31">
        <v>0.26319444444444445</v>
      </c>
      <c r="G369" s="31">
        <v>0.73333333333333339</v>
      </c>
      <c r="H369" s="31">
        <v>0.28888888888888892</v>
      </c>
      <c r="I369" s="31">
        <v>0.70833333333333337</v>
      </c>
      <c r="J369" s="31">
        <v>0.49861111111111112</v>
      </c>
      <c r="K369" s="30">
        <f>((K4-K339)/31)+K368</f>
        <v>32.193548387096726</v>
      </c>
      <c r="L369" s="30">
        <f>((L4-L339)/31)+L368</f>
        <v>32.032258064516157</v>
      </c>
      <c r="M369" s="90">
        <v>26.6</v>
      </c>
      <c r="N369" s="89">
        <f t="shared" si="53"/>
        <v>2.6032258064516078</v>
      </c>
      <c r="O369" s="106">
        <f t="shared" si="54"/>
        <v>45.90322580645153</v>
      </c>
      <c r="P369" s="108">
        <v>15.8</v>
      </c>
      <c r="Q369" s="108">
        <v>10</v>
      </c>
      <c r="R369" s="107">
        <v>23</v>
      </c>
      <c r="S369" s="34" t="s">
        <v>431</v>
      </c>
      <c r="T369" s="34" t="s">
        <v>436</v>
      </c>
      <c r="U369" s="33"/>
      <c r="V369" s="43"/>
      <c r="W369" s="47"/>
      <c r="X369" s="47"/>
      <c r="AC369" s="88"/>
    </row>
  </sheetData>
  <mergeCells count="7">
    <mergeCell ref="K2:M2"/>
    <mergeCell ref="K1:R1"/>
    <mergeCell ref="S2:T2"/>
    <mergeCell ref="A1:J1"/>
    <mergeCell ref="D2:E2"/>
    <mergeCell ref="F2:G2"/>
    <mergeCell ref="H2:I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H93"/>
  <sheetViews>
    <sheetView topLeftCell="A13" workbookViewId="0">
      <selection activeCell="D24" sqref="D24"/>
    </sheetView>
  </sheetViews>
  <sheetFormatPr defaultColWidth="0.85546875" defaultRowHeight="15" x14ac:dyDescent="0.25"/>
  <cols>
    <col min="1" max="1" width="25.28515625" style="29" bestFit="1" customWidth="1"/>
    <col min="2" max="2" width="1.7109375" bestFit="1" customWidth="1"/>
    <col min="3" max="3" width="14.7109375" style="1" bestFit="1" customWidth="1"/>
    <col min="4" max="4" width="12.5703125" style="30" bestFit="1" customWidth="1"/>
    <col min="5" max="5" width="0.85546875" customWidth="1"/>
    <col min="6" max="6" width="28" style="29" bestFit="1" customWidth="1"/>
    <col min="7" max="7" width="1.7109375" style="30" bestFit="1" customWidth="1"/>
    <col min="8" max="8" width="10.5703125" style="1" bestFit="1" customWidth="1"/>
  </cols>
  <sheetData>
    <row r="2" spans="1:5" x14ac:dyDescent="0.25">
      <c r="A2" s="29" t="s">
        <v>414</v>
      </c>
      <c r="B2" s="30" t="s">
        <v>12</v>
      </c>
      <c r="C2" s="1">
        <f>Generator!O7</f>
        <v>1876</v>
      </c>
    </row>
    <row r="3" spans="1:5" x14ac:dyDescent="0.25">
      <c r="A3" s="29" t="s">
        <v>16</v>
      </c>
      <c r="B3" s="30" t="s">
        <v>12</v>
      </c>
      <c r="C3" s="1" t="str">
        <f>Generator!O8</f>
        <v>June</v>
      </c>
    </row>
    <row r="4" spans="1:5" x14ac:dyDescent="0.25">
      <c r="A4" s="29" t="s">
        <v>0</v>
      </c>
      <c r="B4" s="30" t="s">
        <v>12</v>
      </c>
      <c r="C4" s="1">
        <f>Generator!O9</f>
        <v>17</v>
      </c>
    </row>
    <row r="5" spans="1:5" x14ac:dyDescent="0.25">
      <c r="A5" s="29" t="s">
        <v>453</v>
      </c>
      <c r="B5" s="30" t="s">
        <v>12</v>
      </c>
      <c r="C5" s="1" t="str">
        <f>INDEX(Charts!$A$4:$A$369,MATCH(C6,Charts!$A$4:$A$369,0)-1,1)</f>
        <v>17 June 1876</v>
      </c>
    </row>
    <row r="6" spans="1:5" x14ac:dyDescent="0.25">
      <c r="A6" s="29" t="s">
        <v>452</v>
      </c>
      <c r="B6" s="30" t="s">
        <v>12</v>
      </c>
      <c r="C6" s="1" t="str">
        <f>IF('Macro Data'!B17="",(C4&amp;" "&amp;C3&amp;" "&amp;C2),'Macro Data'!B17)</f>
        <v>18 June 1876</v>
      </c>
    </row>
    <row r="7" spans="1:5" x14ac:dyDescent="0.25">
      <c r="A7" s="29" t="s">
        <v>454</v>
      </c>
      <c r="B7" s="30" t="s">
        <v>12</v>
      </c>
      <c r="C7" s="1" t="str">
        <f>INDEX(Charts!$A$4:$A$369,MATCH(C6,Charts!$A$4:$A$369,0)+1,1)</f>
        <v>19 June 1876</v>
      </c>
    </row>
    <row r="8" spans="1:5" x14ac:dyDescent="0.25">
      <c r="B8" s="30"/>
    </row>
    <row r="9" spans="1:5" x14ac:dyDescent="0.25">
      <c r="A9" s="126" t="s">
        <v>453</v>
      </c>
      <c r="B9" s="127"/>
      <c r="C9" s="127"/>
      <c r="D9" s="128"/>
    </row>
    <row r="10" spans="1:5" x14ac:dyDescent="0.25">
      <c r="A10" s="61" t="s">
        <v>443</v>
      </c>
      <c r="B10" s="62" t="s">
        <v>12</v>
      </c>
      <c r="C10" s="63" t="str">
        <f>VLOOKUP($C$5,WeatherChart,19,FALSE)</f>
        <v>III</v>
      </c>
      <c r="D10" s="64"/>
    </row>
    <row r="11" spans="1:5" x14ac:dyDescent="0.25">
      <c r="A11" s="61" t="s">
        <v>444</v>
      </c>
      <c r="B11" s="62" t="s">
        <v>12</v>
      </c>
      <c r="C11" s="63" t="str">
        <f>VLOOKUP($C$5,WeatherChart,20,FALSE)</f>
        <v>II</v>
      </c>
      <c r="D11" s="64"/>
    </row>
    <row r="12" spans="1:5" x14ac:dyDescent="0.25">
      <c r="A12" s="61" t="s">
        <v>519</v>
      </c>
      <c r="B12" s="62" t="s">
        <v>12</v>
      </c>
      <c r="C12" s="63">
        <f>VLOOKUP($C$5,WeatherChart,12,FALSE)</f>
        <v>68.200000000000045</v>
      </c>
      <c r="D12" s="64"/>
    </row>
    <row r="13" spans="1:5" x14ac:dyDescent="0.25">
      <c r="A13" s="61" t="s">
        <v>447</v>
      </c>
      <c r="B13" s="62" t="s">
        <v>12</v>
      </c>
      <c r="C13" s="63">
        <f>VLOOKUP($C$5,WeatherChart,11,FALSE)</f>
        <v>80.066666666666606</v>
      </c>
      <c r="D13" s="64"/>
    </row>
    <row r="14" spans="1:5" x14ac:dyDescent="0.25">
      <c r="A14" s="61"/>
      <c r="B14" s="62"/>
      <c r="C14" s="62" t="s">
        <v>413</v>
      </c>
      <c r="D14" s="64" t="s">
        <v>422</v>
      </c>
    </row>
    <row r="15" spans="1:5" x14ac:dyDescent="0.25">
      <c r="A15" s="61" t="s">
        <v>28</v>
      </c>
      <c r="B15" s="62" t="s">
        <v>12</v>
      </c>
      <c r="C15" s="65">
        <f>VLOOKUP($C$5,SolarChart,2,FALSE)</f>
        <v>0.17430555555555557</v>
      </c>
      <c r="D15" s="66"/>
      <c r="E15" s="30"/>
    </row>
    <row r="16" spans="1:5" x14ac:dyDescent="0.25">
      <c r="A16" s="61" t="s">
        <v>30</v>
      </c>
      <c r="B16" s="62" t="s">
        <v>12</v>
      </c>
      <c r="C16" s="65">
        <f>VLOOKUP($C$5,SolarChart,3,FALSE)</f>
        <v>0.81805555555555554</v>
      </c>
      <c r="D16" s="66"/>
      <c r="E16" s="30"/>
    </row>
    <row r="17" spans="1:5" x14ac:dyDescent="0.25">
      <c r="A17" s="61" t="s">
        <v>40</v>
      </c>
      <c r="B17" s="62" t="s">
        <v>12</v>
      </c>
      <c r="C17" s="65">
        <f>VLOOKUP($C$5,SolarChart,10,FALSE)</f>
        <v>0.49652777777777773</v>
      </c>
      <c r="D17" s="66"/>
      <c r="E17" s="30"/>
    </row>
    <row r="18" spans="1:5" x14ac:dyDescent="0.25">
      <c r="A18" s="61" t="s">
        <v>415</v>
      </c>
      <c r="B18" s="62" t="s">
        <v>12</v>
      </c>
      <c r="C18" s="65">
        <f>VLOOKUP($C$5,SolarChart,4,FALSE)</f>
        <v>7.4999999999999997E-2</v>
      </c>
      <c r="D18" s="66"/>
      <c r="E18" s="30"/>
    </row>
    <row r="19" spans="1:5" x14ac:dyDescent="0.25">
      <c r="A19" s="61" t="s">
        <v>416</v>
      </c>
      <c r="B19" s="62" t="s">
        <v>12</v>
      </c>
      <c r="C19" s="65">
        <f>VLOOKUP($C$5,SolarChart,5,FALSE)</f>
        <v>0.91805555555555562</v>
      </c>
      <c r="D19" s="66"/>
      <c r="E19" s="30"/>
    </row>
    <row r="20" spans="1:5" x14ac:dyDescent="0.25">
      <c r="A20" s="61" t="s">
        <v>417</v>
      </c>
      <c r="B20" s="62" t="s">
        <v>12</v>
      </c>
      <c r="C20" s="65">
        <f>VLOOKUP($C$5,SolarChart,6,FALSE)</f>
        <v>0.11666666666666665</v>
      </c>
      <c r="D20" s="66"/>
      <c r="E20" s="30"/>
    </row>
    <row r="21" spans="1:5" x14ac:dyDescent="0.25">
      <c r="A21" s="61" t="s">
        <v>418</v>
      </c>
      <c r="B21" s="62" t="s">
        <v>12</v>
      </c>
      <c r="C21" s="65">
        <f>VLOOKUP($C$5,SolarChart,7,FALSE)</f>
        <v>0.87638888888888899</v>
      </c>
      <c r="D21" s="66"/>
      <c r="E21" s="30"/>
    </row>
    <row r="22" spans="1:5" x14ac:dyDescent="0.25">
      <c r="A22" s="61" t="s">
        <v>419</v>
      </c>
      <c r="B22" s="62" t="s">
        <v>12</v>
      </c>
      <c r="C22" s="65">
        <f>VLOOKUP($C$5,SolarChart,8,FALSE)</f>
        <v>0.14930555555555555</v>
      </c>
      <c r="D22" s="66"/>
      <c r="E22" s="30"/>
    </row>
    <row r="23" spans="1:5" x14ac:dyDescent="0.25">
      <c r="A23" s="61" t="s">
        <v>420</v>
      </c>
      <c r="B23" s="62" t="s">
        <v>12</v>
      </c>
      <c r="C23" s="65">
        <f>VLOOKUP($C$5,SolarChart,9,FALSE)</f>
        <v>0.84375</v>
      </c>
      <c r="D23" s="66"/>
      <c r="E23" s="30"/>
    </row>
    <row r="24" spans="1:5" x14ac:dyDescent="0.25">
      <c r="A24" s="61" t="s">
        <v>437</v>
      </c>
      <c r="B24" s="62" t="s">
        <v>12</v>
      </c>
      <c r="C24" s="65">
        <f ca="1">IF('Macro Data'!B7="",(C15-(RANDBETWEEN(40,50)/1000)),'Macro Data'!B7)</f>
        <v>0.12730555236339569</v>
      </c>
      <c r="D24" s="66">
        <f>IF('Macro Data'!C7="",(ROUND((C34),2)),'Macro Data'!C7)</f>
        <v>19.889999389648438</v>
      </c>
      <c r="E24" s="30"/>
    </row>
    <row r="25" spans="1:5" x14ac:dyDescent="0.25">
      <c r="A25" s="61" t="s">
        <v>438</v>
      </c>
      <c r="B25" s="62" t="s">
        <v>12</v>
      </c>
      <c r="C25" s="65">
        <f ca="1">IF('Macro Data'!B8="",((RANDBETWEEN(40,50)/1000)+C17),'Macro Data'!B8)</f>
        <v>0.53852778673171997</v>
      </c>
      <c r="D25" s="66">
        <f>IF('Macro Data'!C8="",(ROUND((C30),2)),'Macro Data'!C8)</f>
        <v>29.940000534057617</v>
      </c>
      <c r="E25" s="30"/>
    </row>
    <row r="26" spans="1:5" x14ac:dyDescent="0.25">
      <c r="A26" s="61"/>
      <c r="B26" s="62"/>
      <c r="C26" s="67"/>
      <c r="D26" s="64"/>
    </row>
    <row r="27" spans="1:5" x14ac:dyDescent="0.25">
      <c r="A27" s="61" t="s">
        <v>441</v>
      </c>
      <c r="B27" s="62" t="s">
        <v>12</v>
      </c>
      <c r="C27" s="68">
        <f ca="1">'OE Rolls'!F4</f>
        <v>19</v>
      </c>
      <c r="D27" s="64"/>
    </row>
    <row r="28" spans="1:5" x14ac:dyDescent="0.25">
      <c r="A28" s="61" t="s">
        <v>445</v>
      </c>
      <c r="B28" s="62" t="s">
        <v>12</v>
      </c>
      <c r="C28" s="68">
        <f ca="1">VLOOKUP(C27,TemperatureModificationChart,MATCH($C$10,Charts!$V$3:$AA$3,0),FALSE)</f>
        <v>1.5833333333333328</v>
      </c>
      <c r="D28" s="64"/>
    </row>
    <row r="29" spans="1:5" x14ac:dyDescent="0.25">
      <c r="A29" s="61" t="s">
        <v>448</v>
      </c>
      <c r="B29" s="62" t="s">
        <v>12</v>
      </c>
      <c r="C29" s="68">
        <f ca="1">ROUND(C13+C28,2)</f>
        <v>81.650000000000006</v>
      </c>
      <c r="D29" s="64"/>
    </row>
    <row r="30" spans="1:5" x14ac:dyDescent="0.25">
      <c r="A30" s="61" t="s">
        <v>450</v>
      </c>
      <c r="B30" s="62" t="s">
        <v>12</v>
      </c>
      <c r="C30" s="68">
        <f ca="1">ROUND((C29-32)*5/9,2)</f>
        <v>27.58</v>
      </c>
      <c r="D30" s="64"/>
    </row>
    <row r="31" spans="1:5" x14ac:dyDescent="0.25">
      <c r="A31" s="61" t="s">
        <v>442</v>
      </c>
      <c r="B31" s="62" t="s">
        <v>12</v>
      </c>
      <c r="C31" s="68">
        <f ca="1">'OE Rolls'!F5</f>
        <v>57</v>
      </c>
      <c r="D31" s="64"/>
    </row>
    <row r="32" spans="1:5" x14ac:dyDescent="0.25">
      <c r="A32" s="61" t="s">
        <v>446</v>
      </c>
      <c r="B32" s="62" t="s">
        <v>12</v>
      </c>
      <c r="C32" s="63">
        <f ca="1">VLOOKUP(C31,TemperatureModificationChart,MATCH($C$11,Charts!$V$3:$AA$3,0),FALSE)</f>
        <v>3.5625</v>
      </c>
      <c r="D32" s="64"/>
    </row>
    <row r="33" spans="1:8" x14ac:dyDescent="0.25">
      <c r="A33" s="61" t="s">
        <v>449</v>
      </c>
      <c r="B33" s="62" t="s">
        <v>12</v>
      </c>
      <c r="C33" s="63">
        <f ca="1">ROUND(C12-C32,2)</f>
        <v>64.64</v>
      </c>
      <c r="D33" s="64"/>
    </row>
    <row r="34" spans="1:8" x14ac:dyDescent="0.25">
      <c r="A34" s="61" t="s">
        <v>451</v>
      </c>
      <c r="B34" s="62" t="s">
        <v>12</v>
      </c>
      <c r="C34" s="68">
        <f ca="1">ROUND((C33-32)*5/9,2)</f>
        <v>18.13</v>
      </c>
      <c r="D34" s="64"/>
    </row>
    <row r="35" spans="1:8" x14ac:dyDescent="0.25">
      <c r="A35" s="69"/>
      <c r="B35" s="70"/>
      <c r="C35" s="71"/>
      <c r="D35" s="72"/>
    </row>
    <row r="36" spans="1:8" x14ac:dyDescent="0.25">
      <c r="B36" s="30"/>
    </row>
    <row r="37" spans="1:8" x14ac:dyDescent="0.25">
      <c r="A37" s="123" t="s">
        <v>452</v>
      </c>
      <c r="B37" s="124"/>
      <c r="C37" s="124"/>
      <c r="D37" s="125"/>
    </row>
    <row r="38" spans="1:8" x14ac:dyDescent="0.25">
      <c r="A38" s="49" t="s">
        <v>443</v>
      </c>
      <c r="B38" s="50" t="s">
        <v>12</v>
      </c>
      <c r="C38" s="51" t="str">
        <f>VLOOKUP($C$6,WeatherChart,19,FALSE)</f>
        <v>III</v>
      </c>
      <c r="D38" s="52"/>
      <c r="F38" s="29" t="s">
        <v>495</v>
      </c>
      <c r="G38" s="30" t="s">
        <v>12</v>
      </c>
      <c r="H38" s="1">
        <f ca="1">'OE Rolls'!$F$9</f>
        <v>179</v>
      </c>
    </row>
    <row r="39" spans="1:8" x14ac:dyDescent="0.25">
      <c r="A39" s="49" t="s">
        <v>444</v>
      </c>
      <c r="B39" s="50" t="s">
        <v>12</v>
      </c>
      <c r="C39" s="51" t="str">
        <f>VLOOKUP($C$6,WeatherChart,20,FALSE)</f>
        <v>II</v>
      </c>
      <c r="D39" s="52"/>
      <c r="F39" s="29" t="s">
        <v>493</v>
      </c>
      <c r="G39" s="30" t="s">
        <v>12</v>
      </c>
      <c r="H39" s="110">
        <f>VLOOKUP($C$6,WeatherChart,15,FALSE)</f>
        <v>34.299999999999976</v>
      </c>
    </row>
    <row r="40" spans="1:8" x14ac:dyDescent="0.25">
      <c r="A40" s="49" t="s">
        <v>519</v>
      </c>
      <c r="B40" s="50" t="s">
        <v>12</v>
      </c>
      <c r="C40" s="51">
        <f>VLOOKUP($C$6,WeatherChart,12,FALSE)</f>
        <v>68.400000000000048</v>
      </c>
      <c r="D40" s="52"/>
      <c r="F40" s="29" t="s">
        <v>496</v>
      </c>
      <c r="G40" s="30" t="s">
        <v>12</v>
      </c>
      <c r="H40" s="1">
        <f>VLOOKUP(Generator!$O$12,TerrainEffectChart,3,FALSE)</f>
        <v>0</v>
      </c>
    </row>
    <row r="41" spans="1:8" x14ac:dyDescent="0.25">
      <c r="A41" s="49" t="s">
        <v>447</v>
      </c>
      <c r="B41" s="50" t="s">
        <v>12</v>
      </c>
      <c r="C41" s="51">
        <f>VLOOKUP($C$6,WeatherChart,11,FALSE)</f>
        <v>80.133333333333269</v>
      </c>
      <c r="D41" s="52"/>
      <c r="F41" s="29" t="s">
        <v>498</v>
      </c>
      <c r="G41" s="30" t="s">
        <v>12</v>
      </c>
      <c r="H41" s="111">
        <f ca="1">SUM(H38:H40)</f>
        <v>213.29999999999998</v>
      </c>
    </row>
    <row r="42" spans="1:8" x14ac:dyDescent="0.25">
      <c r="A42" s="49"/>
      <c r="B42" s="50"/>
      <c r="C42" s="50" t="s">
        <v>413</v>
      </c>
      <c r="D42" s="52" t="s">
        <v>422</v>
      </c>
      <c r="F42" s="29" t="s">
        <v>5</v>
      </c>
      <c r="G42" s="30" t="s">
        <v>12</v>
      </c>
      <c r="H42" s="1" t="str">
        <f ca="1">IF(H41&gt;100,"Yes","No")</f>
        <v>Yes</v>
      </c>
    </row>
    <row r="43" spans="1:8" x14ac:dyDescent="0.25">
      <c r="A43" s="49" t="s">
        <v>28</v>
      </c>
      <c r="B43" s="50" t="s">
        <v>12</v>
      </c>
      <c r="C43" s="53">
        <f>VLOOKUP($C$6,SolarChart,2,FALSE)</f>
        <v>0.17430555555555557</v>
      </c>
      <c r="D43" s="54"/>
      <c r="F43" s="29" t="s">
        <v>32</v>
      </c>
      <c r="G43" s="30" t="s">
        <v>12</v>
      </c>
      <c r="H43" s="1">
        <f ca="1">IF(H42="Yes",RANDBETWEEN(1,100),"")</f>
        <v>61</v>
      </c>
    </row>
    <row r="44" spans="1:8" x14ac:dyDescent="0.25">
      <c r="A44" s="49" t="s">
        <v>30</v>
      </c>
      <c r="B44" s="50" t="s">
        <v>12</v>
      </c>
      <c r="C44" s="53">
        <f>VLOOKUP($C$6,SolarChart,3,FALSE)</f>
        <v>0.81874999999999998</v>
      </c>
      <c r="D44" s="54"/>
      <c r="F44" s="29" t="s">
        <v>32</v>
      </c>
      <c r="G44" s="30" t="s">
        <v>12</v>
      </c>
      <c r="H44" s="1" t="str">
        <f ca="1">IFERROR(VLOOKUP(H43,Charts!$AO$4:$AP$103,2,FALSE),"No")</f>
        <v>Rainstorm, Heavy</v>
      </c>
    </row>
    <row r="45" spans="1:8" x14ac:dyDescent="0.25">
      <c r="A45" s="49" t="s">
        <v>40</v>
      </c>
      <c r="B45" s="50" t="s">
        <v>12</v>
      </c>
      <c r="C45" s="53">
        <f>VLOOKUP($C$6,SolarChart,10,FALSE)</f>
        <v>0.49652777777777773</v>
      </c>
      <c r="D45" s="54"/>
      <c r="F45" s="29" t="s">
        <v>502</v>
      </c>
      <c r="G45" s="30" t="s">
        <v>12</v>
      </c>
      <c r="H45" s="112">
        <f ca="1">IF(H42="Yes",RAND(),"No")</f>
        <v>0.51221653108798071</v>
      </c>
    </row>
    <row r="46" spans="1:8" x14ac:dyDescent="0.25">
      <c r="A46" s="49" t="s">
        <v>415</v>
      </c>
      <c r="B46" s="50" t="s">
        <v>12</v>
      </c>
      <c r="C46" s="53">
        <f>VLOOKUP($C$6,SolarChart,4,FALSE)</f>
        <v>7.4999999999999997E-2</v>
      </c>
      <c r="D46" s="54"/>
    </row>
    <row r="47" spans="1:8" x14ac:dyDescent="0.25">
      <c r="A47" s="49" t="s">
        <v>416</v>
      </c>
      <c r="B47" s="50" t="s">
        <v>12</v>
      </c>
      <c r="C47" s="53">
        <f>VLOOKUP($C$6,SolarChart,5,FALSE)</f>
        <v>0.91805555555555562</v>
      </c>
      <c r="D47" s="54"/>
    </row>
    <row r="48" spans="1:8" x14ac:dyDescent="0.25">
      <c r="A48" s="49" t="s">
        <v>417</v>
      </c>
      <c r="B48" s="50" t="s">
        <v>12</v>
      </c>
      <c r="C48" s="53">
        <f>VLOOKUP($C$6,SolarChart,6,FALSE)</f>
        <v>0.11666666666666665</v>
      </c>
      <c r="D48" s="54"/>
    </row>
    <row r="49" spans="1:6" x14ac:dyDescent="0.25">
      <c r="A49" s="49" t="s">
        <v>418</v>
      </c>
      <c r="B49" s="50" t="s">
        <v>12</v>
      </c>
      <c r="C49" s="53">
        <f>VLOOKUP($C$6,SolarChart,7,FALSE)</f>
        <v>0.87638888888888899</v>
      </c>
      <c r="D49" s="54"/>
    </row>
    <row r="50" spans="1:6" x14ac:dyDescent="0.25">
      <c r="A50" s="49" t="s">
        <v>419</v>
      </c>
      <c r="B50" s="50" t="s">
        <v>12</v>
      </c>
      <c r="C50" s="53">
        <f>VLOOKUP($C$6,SolarChart,8,FALSE)</f>
        <v>0.14930555555555555</v>
      </c>
      <c r="D50" s="54"/>
    </row>
    <row r="51" spans="1:6" x14ac:dyDescent="0.25">
      <c r="A51" s="49" t="s">
        <v>420</v>
      </c>
      <c r="B51" s="50" t="s">
        <v>12</v>
      </c>
      <c r="C51" s="53">
        <f>VLOOKUP($C$6,SolarChart,9,FALSE)</f>
        <v>0.84375</v>
      </c>
      <c r="D51" s="54"/>
    </row>
    <row r="52" spans="1:6" x14ac:dyDescent="0.25">
      <c r="A52" s="49" t="s">
        <v>437</v>
      </c>
      <c r="B52" s="50" t="s">
        <v>12</v>
      </c>
      <c r="C52" s="53">
        <f ca="1">IF('Macro Data'!B11="",(C43-(RANDBETWEEN(40,50)/1000)),'Macro Data'!B11)</f>
        <v>0.12530554831027985</v>
      </c>
      <c r="D52" s="54">
        <f>IF('Macro Data'!C11="",(ROUND((C62),2)),'Macro Data'!C11)</f>
        <v>19.219999313354492</v>
      </c>
      <c r="F52" s="109"/>
    </row>
    <row r="53" spans="1:6" x14ac:dyDescent="0.25">
      <c r="A53" s="49" t="s">
        <v>438</v>
      </c>
      <c r="B53" s="50" t="s">
        <v>12</v>
      </c>
      <c r="C53" s="53">
        <f ca="1">IF('Macro Data'!B12="",((RANDBETWEEN(40,50)/1000)+C45),'Macro Data'!B12)</f>
        <v>0.54552775621414185</v>
      </c>
      <c r="D53" s="54">
        <f>IF('Macro Data'!C12="",(ROUND((C58),2)),'Macro Data'!C12)</f>
        <v>28.459999084472656</v>
      </c>
    </row>
    <row r="54" spans="1:6" x14ac:dyDescent="0.25">
      <c r="A54" s="49"/>
      <c r="B54" s="50"/>
      <c r="C54" s="55"/>
      <c r="D54" s="52"/>
    </row>
    <row r="55" spans="1:6" x14ac:dyDescent="0.25">
      <c r="A55" s="49" t="s">
        <v>441</v>
      </c>
      <c r="B55" s="50" t="s">
        <v>12</v>
      </c>
      <c r="C55" s="56">
        <f ca="1">'OE Rolls'!F2</f>
        <v>26</v>
      </c>
      <c r="D55" s="52"/>
    </row>
    <row r="56" spans="1:6" x14ac:dyDescent="0.25">
      <c r="A56" s="49" t="s">
        <v>445</v>
      </c>
      <c r="B56" s="50" t="s">
        <v>12</v>
      </c>
      <c r="C56" s="56">
        <f ca="1">VLOOKUP(C55,TemperatureModificationChart,MATCH($C$38,Charts!$V$3:$AA$3,0),FALSE)</f>
        <v>2.166666666666667</v>
      </c>
      <c r="D56" s="52">
        <f ca="1">VLOOKUP(C55,TemperatureModificationChart2,MATCH($C$38,Charts!$V$3:$AA$3,0),FALSE)</f>
        <v>0</v>
      </c>
    </row>
    <row r="57" spans="1:6" x14ac:dyDescent="0.25">
      <c r="A57" s="49" t="s">
        <v>448</v>
      </c>
      <c r="B57" s="50" t="s">
        <v>12</v>
      </c>
      <c r="C57" s="56">
        <f ca="1">ROUND(C41+C56,2)</f>
        <v>82.3</v>
      </c>
      <c r="D57" s="52"/>
    </row>
    <row r="58" spans="1:6" x14ac:dyDescent="0.25">
      <c r="A58" s="49" t="s">
        <v>450</v>
      </c>
      <c r="B58" s="50" t="s">
        <v>12</v>
      </c>
      <c r="C58" s="56">
        <f ca="1">ROUND((C57-32)*5/9,2)</f>
        <v>27.94</v>
      </c>
      <c r="D58" s="52"/>
    </row>
    <row r="59" spans="1:6" x14ac:dyDescent="0.25">
      <c r="A59" s="49" t="s">
        <v>442</v>
      </c>
      <c r="B59" s="50" t="s">
        <v>12</v>
      </c>
      <c r="C59" s="56">
        <f ca="1">'OE Rolls'!F3</f>
        <v>61</v>
      </c>
      <c r="D59" s="52"/>
    </row>
    <row r="60" spans="1:6" x14ac:dyDescent="0.25">
      <c r="A60" s="49" t="s">
        <v>446</v>
      </c>
      <c r="B60" s="50" t="s">
        <v>12</v>
      </c>
      <c r="C60" s="51">
        <f ca="1">VLOOKUP(C59,TemperatureModificationChart,MATCH($C$39,Charts!$V$3:$AA$3,0),FALSE)</f>
        <v>3.8125</v>
      </c>
      <c r="D60" s="52">
        <f ca="1">VLOOKUP(C59,TemperatureModificationChart2,MATCH($C$39,Charts!$V$3:$AA$3,0),FALSE)</f>
        <v>0</v>
      </c>
    </row>
    <row r="61" spans="1:6" x14ac:dyDescent="0.25">
      <c r="A61" s="49" t="s">
        <v>449</v>
      </c>
      <c r="B61" s="50" t="s">
        <v>12</v>
      </c>
      <c r="C61" s="51">
        <f ca="1">ROUND(C40-C60,2)</f>
        <v>64.59</v>
      </c>
      <c r="D61" s="52"/>
    </row>
    <row r="62" spans="1:6" x14ac:dyDescent="0.25">
      <c r="A62" s="49" t="s">
        <v>451</v>
      </c>
      <c r="B62" s="50" t="s">
        <v>12</v>
      </c>
      <c r="C62" s="56">
        <f ca="1">ROUND((C61-32)*5/9,2)</f>
        <v>18.11</v>
      </c>
      <c r="D62" s="52"/>
    </row>
    <row r="63" spans="1:6" x14ac:dyDescent="0.25">
      <c r="A63" s="57"/>
      <c r="B63" s="58"/>
      <c r="C63" s="59"/>
      <c r="D63" s="60"/>
    </row>
    <row r="65" spans="1:8" x14ac:dyDescent="0.25">
      <c r="A65" s="129" t="s">
        <v>454</v>
      </c>
      <c r="B65" s="130"/>
      <c r="C65" s="130"/>
      <c r="D65" s="131"/>
    </row>
    <row r="66" spans="1:8" x14ac:dyDescent="0.25">
      <c r="A66" s="73" t="s">
        <v>443</v>
      </c>
      <c r="B66" s="74" t="s">
        <v>12</v>
      </c>
      <c r="C66" s="75" t="str">
        <f>VLOOKUP($C$7,WeatherChart,19,FALSE)</f>
        <v>III</v>
      </c>
      <c r="D66" s="76"/>
      <c r="F66" s="29" t="s">
        <v>495</v>
      </c>
      <c r="G66" s="30" t="s">
        <v>12</v>
      </c>
      <c r="H66" s="1">
        <f ca="1">'OE Rolls'!$F$10</f>
        <v>52</v>
      </c>
    </row>
    <row r="67" spans="1:8" x14ac:dyDescent="0.25">
      <c r="A67" s="73" t="s">
        <v>444</v>
      </c>
      <c r="B67" s="74" t="s">
        <v>12</v>
      </c>
      <c r="C67" s="75" t="str">
        <f>VLOOKUP($C$7,WeatherChart,20,FALSE)</f>
        <v>II</v>
      </c>
      <c r="D67" s="76"/>
      <c r="F67" s="29" t="s">
        <v>493</v>
      </c>
      <c r="G67" s="30" t="s">
        <v>12</v>
      </c>
      <c r="H67" s="110">
        <f>VLOOKUP($C$7,WeatherChart,15,FALSE)</f>
        <v>34.199999999999974</v>
      </c>
    </row>
    <row r="68" spans="1:8" x14ac:dyDescent="0.25">
      <c r="A68" s="73" t="s">
        <v>519</v>
      </c>
      <c r="B68" s="74" t="s">
        <v>12</v>
      </c>
      <c r="C68" s="75">
        <f>VLOOKUP($C$7,WeatherChart,12,FALSE)</f>
        <v>68.600000000000051</v>
      </c>
      <c r="D68" s="76"/>
      <c r="F68" s="29" t="s">
        <v>496</v>
      </c>
      <c r="G68" s="30" t="s">
        <v>12</v>
      </c>
      <c r="H68" s="1">
        <f>VLOOKUP(Generator!$O$12,TerrainEffectChart,3,FALSE)</f>
        <v>0</v>
      </c>
    </row>
    <row r="69" spans="1:8" x14ac:dyDescent="0.25">
      <c r="A69" s="73" t="s">
        <v>447</v>
      </c>
      <c r="B69" s="74" t="s">
        <v>12</v>
      </c>
      <c r="C69" s="75">
        <f>VLOOKUP($C$7,WeatherChart,11,FALSE)</f>
        <v>80.199999999999932</v>
      </c>
      <c r="D69" s="76"/>
      <c r="F69" s="29" t="s">
        <v>498</v>
      </c>
      <c r="G69" s="30" t="s">
        <v>12</v>
      </c>
      <c r="H69" s="111">
        <f ca="1">SUM(H66:H68)</f>
        <v>86.199999999999974</v>
      </c>
    </row>
    <row r="70" spans="1:8" x14ac:dyDescent="0.25">
      <c r="A70" s="73"/>
      <c r="B70" s="74"/>
      <c r="C70" s="74" t="s">
        <v>413</v>
      </c>
      <c r="D70" s="76" t="s">
        <v>422</v>
      </c>
      <c r="F70" s="29" t="s">
        <v>5</v>
      </c>
      <c r="G70" s="30" t="s">
        <v>12</v>
      </c>
      <c r="H70" s="1" t="str">
        <f ca="1">IF(H69&gt;100,"Yes","No")</f>
        <v>No</v>
      </c>
    </row>
    <row r="71" spans="1:8" x14ac:dyDescent="0.25">
      <c r="A71" s="73" t="s">
        <v>28</v>
      </c>
      <c r="B71" s="74" t="s">
        <v>12</v>
      </c>
      <c r="C71" s="77">
        <f>VLOOKUP($C$7,SolarChart,2,FALSE)</f>
        <v>0.17430555555555557</v>
      </c>
      <c r="D71" s="78"/>
      <c r="F71" s="29" t="s">
        <v>32</v>
      </c>
      <c r="G71" s="30" t="s">
        <v>12</v>
      </c>
      <c r="H71" s="1" t="str">
        <f ca="1">IF(H70="Yes",RANDBETWEEN(1,100),"")</f>
        <v/>
      </c>
    </row>
    <row r="72" spans="1:8" x14ac:dyDescent="0.25">
      <c r="A72" s="73" t="s">
        <v>30</v>
      </c>
      <c r="B72" s="74" t="s">
        <v>12</v>
      </c>
      <c r="C72" s="77">
        <f>VLOOKUP($C$7,SolarChart,3,FALSE)</f>
        <v>0.81874999999999998</v>
      </c>
      <c r="D72" s="78"/>
      <c r="F72" s="29" t="s">
        <v>32</v>
      </c>
      <c r="G72" s="30" t="s">
        <v>12</v>
      </c>
      <c r="H72" s="1" t="str">
        <f ca="1">IFERROR(VLOOKUP(H71,Charts!$AO$4:$AP$103,2,FALSE),"No")</f>
        <v>No</v>
      </c>
    </row>
    <row r="73" spans="1:8" x14ac:dyDescent="0.25">
      <c r="A73" s="73" t="s">
        <v>40</v>
      </c>
      <c r="B73" s="74" t="s">
        <v>12</v>
      </c>
      <c r="C73" s="77">
        <f>VLOOKUP($C$7,SolarChart,10,FALSE)</f>
        <v>0.49652777777777773</v>
      </c>
      <c r="D73" s="78"/>
      <c r="F73" s="29" t="s">
        <v>502</v>
      </c>
      <c r="G73" s="30" t="s">
        <v>12</v>
      </c>
      <c r="H73" s="112" t="str">
        <f ca="1">IF(H70="Yes",RAND(),"No")</f>
        <v>No</v>
      </c>
    </row>
    <row r="74" spans="1:8" x14ac:dyDescent="0.25">
      <c r="A74" s="73" t="s">
        <v>415</v>
      </c>
      <c r="B74" s="74" t="s">
        <v>12</v>
      </c>
      <c r="C74" s="77">
        <f>VLOOKUP($C$7,SolarChart,4,FALSE)</f>
        <v>7.4999999999999997E-2</v>
      </c>
      <c r="D74" s="78"/>
    </row>
    <row r="75" spans="1:8" x14ac:dyDescent="0.25">
      <c r="A75" s="73" t="s">
        <v>416</v>
      </c>
      <c r="B75" s="74" t="s">
        <v>12</v>
      </c>
      <c r="C75" s="77">
        <f>VLOOKUP($C$7,SolarChart,5,FALSE)</f>
        <v>0.91875000000000007</v>
      </c>
      <c r="D75" s="78"/>
    </row>
    <row r="76" spans="1:8" x14ac:dyDescent="0.25">
      <c r="A76" s="73" t="s">
        <v>417</v>
      </c>
      <c r="B76" s="74" t="s">
        <v>12</v>
      </c>
      <c r="C76" s="77">
        <f>VLOOKUP($C$7,SolarChart,6,FALSE)</f>
        <v>0.11666666666666665</v>
      </c>
      <c r="D76" s="78"/>
    </row>
    <row r="77" spans="1:8" x14ac:dyDescent="0.25">
      <c r="A77" s="73" t="s">
        <v>418</v>
      </c>
      <c r="B77" s="74" t="s">
        <v>12</v>
      </c>
      <c r="C77" s="77">
        <f>VLOOKUP($C$7,SolarChart,7,FALSE)</f>
        <v>0.87708333333333333</v>
      </c>
      <c r="D77" s="78"/>
    </row>
    <row r="78" spans="1:8" x14ac:dyDescent="0.25">
      <c r="A78" s="73" t="s">
        <v>419</v>
      </c>
      <c r="B78" s="74" t="s">
        <v>12</v>
      </c>
      <c r="C78" s="77">
        <f>VLOOKUP($C$7,SolarChart,8,FALSE)</f>
        <v>0.14930555555555555</v>
      </c>
      <c r="D78" s="78"/>
    </row>
    <row r="79" spans="1:8" x14ac:dyDescent="0.25">
      <c r="A79" s="73" t="s">
        <v>420</v>
      </c>
      <c r="B79" s="74" t="s">
        <v>12</v>
      </c>
      <c r="C79" s="77">
        <f>VLOOKUP($C$7,SolarChart,9,FALSE)</f>
        <v>0.84375</v>
      </c>
      <c r="D79" s="78"/>
    </row>
    <row r="80" spans="1:8" x14ac:dyDescent="0.25">
      <c r="A80" s="73" t="s">
        <v>437</v>
      </c>
      <c r="B80" s="74" t="s">
        <v>12</v>
      </c>
      <c r="C80" s="77">
        <f ca="1">C71-(RANDBETWEEN(40,50)/1000)</f>
        <v>0.13430555555555557</v>
      </c>
      <c r="D80" s="78">
        <f ca="1">C90</f>
        <v>17.829999999999998</v>
      </c>
    </row>
    <row r="81" spans="1:4" x14ac:dyDescent="0.25">
      <c r="A81" s="73" t="s">
        <v>438</v>
      </c>
      <c r="B81" s="74" t="s">
        <v>12</v>
      </c>
      <c r="C81" s="77">
        <f ca="1">(RANDBETWEEN(40,50)/1000)+C73</f>
        <v>0.54152777777777772</v>
      </c>
      <c r="D81" s="78">
        <f ca="1">C86</f>
        <v>31.18</v>
      </c>
    </row>
    <row r="82" spans="1:4" x14ac:dyDescent="0.25">
      <c r="A82" s="73"/>
      <c r="B82" s="74"/>
      <c r="C82" s="79"/>
      <c r="D82" s="76"/>
    </row>
    <row r="83" spans="1:4" x14ac:dyDescent="0.25">
      <c r="A83" s="73" t="s">
        <v>441</v>
      </c>
      <c r="B83" s="74" t="s">
        <v>12</v>
      </c>
      <c r="C83" s="80">
        <f ca="1">'OE Rolls'!F6</f>
        <v>95</v>
      </c>
      <c r="D83" s="76"/>
    </row>
    <row r="84" spans="1:4" x14ac:dyDescent="0.25">
      <c r="A84" s="73" t="s">
        <v>445</v>
      </c>
      <c r="B84" s="74" t="s">
        <v>12</v>
      </c>
      <c r="C84" s="80">
        <f ca="1">VLOOKUP(C83,TemperatureModificationChart,MATCH($C$66,Charts!$V$3:$AA$3,0),FALSE)</f>
        <v>7.9166666666666563</v>
      </c>
      <c r="D84" s="76">
        <f ca="1">VLOOKUP(C83,TemperatureModificationChart2,MATCH($C$66,Charts!$V$3:$AA$3,0),FALSE)</f>
        <v>25</v>
      </c>
    </row>
    <row r="85" spans="1:4" x14ac:dyDescent="0.25">
      <c r="A85" s="73" t="s">
        <v>448</v>
      </c>
      <c r="B85" s="74" t="s">
        <v>12</v>
      </c>
      <c r="C85" s="80">
        <f ca="1">ROUND((C69+C84),2)</f>
        <v>88.12</v>
      </c>
      <c r="D85" s="76"/>
    </row>
    <row r="86" spans="1:4" x14ac:dyDescent="0.25">
      <c r="A86" s="73" t="s">
        <v>450</v>
      </c>
      <c r="B86" s="74" t="s">
        <v>12</v>
      </c>
      <c r="C86" s="80">
        <f ca="1">ROUND((C85-32)*5/9,2)</f>
        <v>31.18</v>
      </c>
      <c r="D86" s="76"/>
    </row>
    <row r="87" spans="1:4" x14ac:dyDescent="0.25">
      <c r="A87" s="73" t="s">
        <v>442</v>
      </c>
      <c r="B87" s="74" t="s">
        <v>12</v>
      </c>
      <c r="C87" s="80">
        <f ca="1">'OE Rolls'!F7</f>
        <v>72</v>
      </c>
      <c r="D87" s="76"/>
    </row>
    <row r="88" spans="1:4" x14ac:dyDescent="0.25">
      <c r="A88" s="73" t="s">
        <v>446</v>
      </c>
      <c r="B88" s="74" t="s">
        <v>12</v>
      </c>
      <c r="C88" s="75">
        <f ca="1">VLOOKUP(C87,TemperatureModificationChart,MATCH($C$67,Charts!$V$3:$AA$3,0),FALSE)</f>
        <v>4.5</v>
      </c>
      <c r="D88" s="76">
        <f ca="1">VLOOKUP(C87,TemperatureModificationChart2,MATCH($C$67,Charts!$V$3:$AA$3,0),FALSE)</f>
        <v>0</v>
      </c>
    </row>
    <row r="89" spans="1:4" x14ac:dyDescent="0.25">
      <c r="A89" s="73" t="s">
        <v>449</v>
      </c>
      <c r="B89" s="74" t="s">
        <v>12</v>
      </c>
      <c r="C89" s="75">
        <f ca="1">ROUND((C68-C88),2)</f>
        <v>64.099999999999994</v>
      </c>
      <c r="D89" s="76"/>
    </row>
    <row r="90" spans="1:4" x14ac:dyDescent="0.25">
      <c r="A90" s="73" t="s">
        <v>451</v>
      </c>
      <c r="B90" s="74" t="s">
        <v>12</v>
      </c>
      <c r="C90" s="80">
        <f ca="1">ROUND((C89-32)*5/9,2)</f>
        <v>17.829999999999998</v>
      </c>
      <c r="D90" s="76"/>
    </row>
    <row r="91" spans="1:4" x14ac:dyDescent="0.25">
      <c r="A91" s="81"/>
      <c r="B91" s="82"/>
      <c r="C91" s="83"/>
      <c r="D91" s="84"/>
    </row>
    <row r="93" spans="1:4" x14ac:dyDescent="0.25">
      <c r="A93" s="29" t="s">
        <v>480</v>
      </c>
      <c r="B93" s="100" t="s">
        <v>12</v>
      </c>
      <c r="C93" s="1" t="str">
        <f ca="1">IF(D88=25,"Record Low Temperature",IF(D88=50,"Severe Low Temperature",IF(D88=75,"Extreme Low Temperature","")))&amp;IF(D88+D84=MAX(D84,D88),""," &amp; ")&amp;IF(D84=25,"Record High Temperature",IF(D84=50,"Severe High Temperature",IF(D84=75,"Extreme High Temperature","")))</f>
        <v>Record High Temperature</v>
      </c>
    </row>
  </sheetData>
  <mergeCells count="3">
    <mergeCell ref="A37:D37"/>
    <mergeCell ref="A9:D9"/>
    <mergeCell ref="A65:D6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F31"/>
  <sheetViews>
    <sheetView tabSelected="1" topLeftCell="A4" workbookViewId="0">
      <selection activeCell="D24" sqref="D24"/>
    </sheetView>
  </sheetViews>
  <sheetFormatPr defaultRowHeight="15" x14ac:dyDescent="0.25"/>
  <cols>
    <col min="1" max="1" width="3" bestFit="1" customWidth="1"/>
    <col min="2" max="2" width="25.28515625" bestFit="1" customWidth="1"/>
    <col min="3" max="3" width="10.7109375" bestFit="1" customWidth="1"/>
    <col min="4" max="4" width="15.42578125" bestFit="1" customWidth="1"/>
  </cols>
  <sheetData>
    <row r="2" spans="2:6" x14ac:dyDescent="0.25">
      <c r="B2" s="87" t="s">
        <v>492</v>
      </c>
      <c r="C2" s="31"/>
      <c r="E2" s="30"/>
      <c r="F2" s="30"/>
    </row>
    <row r="3" spans="2:6" x14ac:dyDescent="0.25">
      <c r="B3" t="s">
        <v>459</v>
      </c>
      <c r="C3" s="31">
        <f ca="1">Calculations!C24</f>
        <v>0.12730555236339569</v>
      </c>
      <c r="D3" s="105">
        <f>ROUND(Calculations!D24,2)</f>
        <v>19.89</v>
      </c>
      <c r="E3" s="30"/>
      <c r="F3" s="30"/>
    </row>
    <row r="4" spans="2:6" x14ac:dyDescent="0.25">
      <c r="B4" t="s">
        <v>460</v>
      </c>
      <c r="C4" s="31">
        <f ca="1">Calculations!C25</f>
        <v>0.53852778673171997</v>
      </c>
      <c r="D4" s="105">
        <f>ROUND(Calculations!D25,2)</f>
        <v>29.94</v>
      </c>
      <c r="E4" s="30"/>
      <c r="F4" s="30"/>
    </row>
    <row r="5" spans="2:6" x14ac:dyDescent="0.25">
      <c r="B5" t="s">
        <v>461</v>
      </c>
      <c r="C5" s="31">
        <f ca="1">Calculations!C52+1</f>
        <v>1.1253055483102798</v>
      </c>
      <c r="D5" s="105">
        <f>ROUND(Calculations!D52,2)</f>
        <v>19.22</v>
      </c>
      <c r="E5" s="30"/>
      <c r="F5" s="30"/>
    </row>
    <row r="6" spans="2:6" x14ac:dyDescent="0.25">
      <c r="B6" t="s">
        <v>462</v>
      </c>
      <c r="C6" s="31">
        <f ca="1">Calculations!C53+1</f>
        <v>1.5455277562141418</v>
      </c>
      <c r="D6" s="105">
        <f>ROUND(Calculations!D53,2)</f>
        <v>28.46</v>
      </c>
      <c r="E6" s="30"/>
      <c r="F6" s="30"/>
    </row>
    <row r="7" spans="2:6" x14ac:dyDescent="0.25">
      <c r="B7" t="s">
        <v>463</v>
      </c>
      <c r="C7" s="31">
        <f ca="1">Calculations!C80+2</f>
        <v>2.1343055555555557</v>
      </c>
      <c r="D7" s="105">
        <f ca="1">ROUND(Calculations!D80,2)</f>
        <v>17.829999999999998</v>
      </c>
      <c r="E7" s="30"/>
      <c r="F7" s="30"/>
    </row>
    <row r="8" spans="2:6" x14ac:dyDescent="0.25">
      <c r="B8" t="s">
        <v>464</v>
      </c>
      <c r="C8" s="31">
        <f ca="1">Calculations!C81+2</f>
        <v>2.5415277777777776</v>
      </c>
      <c r="D8" s="105">
        <f ca="1">ROUND(Calculations!D81,2)</f>
        <v>31.18</v>
      </c>
      <c r="E8" s="30"/>
      <c r="F8" s="30"/>
    </row>
    <row r="9" spans="2:6" x14ac:dyDescent="0.25">
      <c r="B9" t="s">
        <v>465</v>
      </c>
      <c r="C9" s="31">
        <f>Calculations!C46+1</f>
        <v>1.075</v>
      </c>
      <c r="D9" s="30">
        <v>0</v>
      </c>
      <c r="E9" s="30"/>
      <c r="F9" s="30"/>
    </row>
    <row r="10" spans="2:6" x14ac:dyDescent="0.25">
      <c r="B10" t="s">
        <v>466</v>
      </c>
      <c r="C10" s="31">
        <f>Calculations!C47+1</f>
        <v>1.9180555555555556</v>
      </c>
      <c r="D10" s="30">
        <v>0</v>
      </c>
      <c r="E10" s="30"/>
      <c r="F10" s="30"/>
    </row>
    <row r="11" spans="2:6" x14ac:dyDescent="0.25">
      <c r="B11" t="s">
        <v>467</v>
      </c>
      <c r="C11" s="31">
        <f>Calculations!C48+1</f>
        <v>1.1166666666666667</v>
      </c>
      <c r="D11" s="30">
        <v>0</v>
      </c>
      <c r="E11" s="30"/>
      <c r="F11" s="30"/>
    </row>
    <row r="12" spans="2:6" x14ac:dyDescent="0.25">
      <c r="B12" t="s">
        <v>468</v>
      </c>
      <c r="C12" s="31">
        <f>Calculations!C49+1</f>
        <v>1.8763888888888891</v>
      </c>
      <c r="D12" s="30">
        <v>0</v>
      </c>
      <c r="E12" s="30"/>
      <c r="F12" s="30"/>
    </row>
    <row r="13" spans="2:6" x14ac:dyDescent="0.25">
      <c r="B13" t="s">
        <v>469</v>
      </c>
      <c r="C13" s="31">
        <f>Calculations!C50+1</f>
        <v>1.1493055555555556</v>
      </c>
      <c r="D13" s="30">
        <v>0</v>
      </c>
      <c r="E13" s="30"/>
      <c r="F13" s="30"/>
    </row>
    <row r="14" spans="2:6" x14ac:dyDescent="0.25">
      <c r="B14" t="s">
        <v>470</v>
      </c>
      <c r="C14" s="31">
        <f>Calculations!C51+1</f>
        <v>1.84375</v>
      </c>
      <c r="D14" s="30">
        <v>0</v>
      </c>
      <c r="E14" s="30"/>
      <c r="F14" s="30"/>
    </row>
    <row r="15" spans="2:6" x14ac:dyDescent="0.25">
      <c r="B15" t="str">
        <f>Calculations!A43</f>
        <v>Sunrise</v>
      </c>
      <c r="C15" s="31">
        <f>Calculations!C43+1</f>
        <v>1.1743055555555555</v>
      </c>
      <c r="D15" s="30">
        <v>0</v>
      </c>
      <c r="E15" s="30"/>
      <c r="F15" s="30"/>
    </row>
    <row r="16" spans="2:6" x14ac:dyDescent="0.25">
      <c r="B16" t="str">
        <f>Calculations!A44</f>
        <v>Sunset</v>
      </c>
      <c r="C16" s="31">
        <f>Calculations!C44+1</f>
        <v>1.8187500000000001</v>
      </c>
      <c r="D16" s="30">
        <v>0</v>
      </c>
      <c r="E16" s="30"/>
      <c r="F16" s="30"/>
    </row>
    <row r="17" spans="2:6" x14ac:dyDescent="0.25">
      <c r="B17" t="str">
        <f>Calculations!A45</f>
        <v>Noon</v>
      </c>
      <c r="C17" s="31">
        <f>Calculations!C45+1</f>
        <v>1.4965277777777777</v>
      </c>
      <c r="D17" s="30">
        <v>0</v>
      </c>
      <c r="E17" s="30"/>
      <c r="F17" s="30"/>
    </row>
    <row r="19" spans="2:6" x14ac:dyDescent="0.25">
      <c r="B19" s="87" t="s">
        <v>491</v>
      </c>
      <c r="C19" s="30"/>
      <c r="D19" s="85" t="s">
        <v>479</v>
      </c>
    </row>
    <row r="20" spans="2:6" x14ac:dyDescent="0.25">
      <c r="B20" t="str">
        <f>Generator!O12</f>
        <v>Rough/Hills</v>
      </c>
      <c r="C20" s="105"/>
      <c r="D20" s="105">
        <f>VLOOKUP(B20,TerrainEffectChart,2,FALSE)</f>
        <v>0</v>
      </c>
    </row>
    <row r="21" spans="2:6" x14ac:dyDescent="0.25">
      <c r="B21" t="s">
        <v>429</v>
      </c>
      <c r="C21" s="105"/>
      <c r="D21" s="105"/>
    </row>
    <row r="22" spans="2:6" x14ac:dyDescent="0.25">
      <c r="B22" t="str">
        <f>B3</f>
        <v>Previous Day Low</v>
      </c>
      <c r="C22" s="31">
        <f ca="1">C3</f>
        <v>0.12730555236339569</v>
      </c>
      <c r="D22" s="105">
        <f>IF('Macro Data'!D7="",(D3+E22),'Macro Data'!D7)</f>
        <v>19.219999313354492</v>
      </c>
      <c r="E22" s="30">
        <f ca="1">RAND()*$D$20</f>
        <v>0</v>
      </c>
    </row>
    <row r="23" spans="2:6" x14ac:dyDescent="0.25">
      <c r="B23" t="str">
        <f>B4</f>
        <v>Previous Day High</v>
      </c>
      <c r="C23" s="31">
        <f t="shared" ref="C23:C27" ca="1" si="0">C4</f>
        <v>0.53852778673171997</v>
      </c>
      <c r="D23" s="105">
        <f>IF('Macro Data'!D8="",(D4+E23),'Macro Data'!D8)</f>
        <v>28.459999084472656</v>
      </c>
      <c r="E23" s="30">
        <f t="shared" ref="E23:E27" ca="1" si="1">RAND()*$D$20</f>
        <v>0</v>
      </c>
    </row>
    <row r="24" spans="2:6" x14ac:dyDescent="0.25">
      <c r="B24" t="str">
        <f>B5</f>
        <v>Current Day Low</v>
      </c>
      <c r="C24" s="31">
        <f t="shared" ca="1" si="0"/>
        <v>1.1253055483102798</v>
      </c>
      <c r="D24" s="105">
        <f>IF('Macro Data'!D11="",(D5+E24),'Macro Data'!D11)</f>
        <v>17.860000610351563</v>
      </c>
      <c r="E24" s="30">
        <f t="shared" ca="1" si="1"/>
        <v>0</v>
      </c>
    </row>
    <row r="25" spans="2:6" x14ac:dyDescent="0.25">
      <c r="B25" t="str">
        <f>B6</f>
        <v>Current Day High</v>
      </c>
      <c r="C25" s="31">
        <f t="shared" ca="1" si="0"/>
        <v>1.5455277562141418</v>
      </c>
      <c r="D25" s="105">
        <f>IF('Macro Data'!D12="",(D6+E25),'Macro Data'!D12)</f>
        <v>30.579999923706055</v>
      </c>
      <c r="E25" s="30">
        <f t="shared" ca="1" si="1"/>
        <v>0</v>
      </c>
    </row>
    <row r="26" spans="2:6" x14ac:dyDescent="0.25">
      <c r="B26" t="str">
        <f>B7</f>
        <v>Next Day Low</v>
      </c>
      <c r="C26" s="31">
        <f t="shared" ca="1" si="0"/>
        <v>2.1343055555555557</v>
      </c>
      <c r="D26" s="105">
        <f t="shared" ref="D26:D27" ca="1" si="2">D7+E26</f>
        <v>17.829999999999998</v>
      </c>
      <c r="E26" s="30">
        <f t="shared" ca="1" si="1"/>
        <v>0</v>
      </c>
    </row>
    <row r="27" spans="2:6" x14ac:dyDescent="0.25">
      <c r="B27" t="str">
        <f>B8</f>
        <v>Next Day High</v>
      </c>
      <c r="C27" s="31">
        <f t="shared" ca="1" si="0"/>
        <v>2.5415277777777776</v>
      </c>
      <c r="D27" s="105">
        <f t="shared" ca="1" si="2"/>
        <v>31.18</v>
      </c>
      <c r="E27" s="30">
        <f t="shared" ca="1" si="1"/>
        <v>0</v>
      </c>
    </row>
    <row r="29" spans="2:6" x14ac:dyDescent="0.25">
      <c r="B29" s="87" t="s">
        <v>5</v>
      </c>
    </row>
    <row r="30" spans="2:6" x14ac:dyDescent="0.25">
      <c r="B30" t="s">
        <v>452</v>
      </c>
      <c r="C30" s="31">
        <f ca="1">IF('Macro Data'!B26="",Calculations!H45,'Macro Data'!B26)</f>
        <v>0.51221653108798071</v>
      </c>
      <c r="D30" s="1" t="str">
        <f ca="1">IF('Macro Data'!C26="",Calculations!H44,'Macro Data'!C26)</f>
        <v>Rainstorm, Heavy</v>
      </c>
    </row>
    <row r="31" spans="2:6" x14ac:dyDescent="0.25">
      <c r="C31" s="3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12"/>
  <sheetViews>
    <sheetView workbookViewId="0">
      <selection activeCell="F9" sqref="F9"/>
    </sheetView>
  </sheetViews>
  <sheetFormatPr defaultRowHeight="15" x14ac:dyDescent="0.25"/>
  <cols>
    <col min="1" max="1" width="28.28515625" style="29" bestFit="1" customWidth="1"/>
  </cols>
  <sheetData>
    <row r="2" spans="1:6" x14ac:dyDescent="0.25">
      <c r="A2" s="29" t="s">
        <v>439</v>
      </c>
      <c r="B2" s="30">
        <f t="shared" ref="B2:B10" ca="1" si="0">RANDBETWEEN(1,100)</f>
        <v>26</v>
      </c>
      <c r="C2" s="30">
        <f t="shared" ref="C2:D7" ca="1" si="1">IF(B2&gt;95,RANDBETWEEN(1,100),0)</f>
        <v>0</v>
      </c>
      <c r="D2" s="30">
        <f t="shared" ca="1" si="1"/>
        <v>0</v>
      </c>
      <c r="E2" s="30">
        <f t="shared" ref="E2:E5" ca="1" si="2">SUM(B2:D2)</f>
        <v>26</v>
      </c>
      <c r="F2" s="37">
        <f t="shared" ref="F2:F7" ca="1" si="3">IF(E2&gt;200,200,E2)</f>
        <v>26</v>
      </c>
    </row>
    <row r="3" spans="1:6" x14ac:dyDescent="0.25">
      <c r="A3" s="29" t="s">
        <v>440</v>
      </c>
      <c r="B3" s="30">
        <f t="shared" ca="1" si="0"/>
        <v>61</v>
      </c>
      <c r="C3" s="30">
        <f t="shared" ca="1" si="1"/>
        <v>0</v>
      </c>
      <c r="D3" s="30">
        <f t="shared" ca="1" si="1"/>
        <v>0</v>
      </c>
      <c r="E3" s="30">
        <f t="shared" ca="1" si="2"/>
        <v>61</v>
      </c>
      <c r="F3" s="37">
        <f t="shared" ca="1" si="3"/>
        <v>61</v>
      </c>
    </row>
    <row r="4" spans="1:6" x14ac:dyDescent="0.25">
      <c r="A4" s="29" t="s">
        <v>455</v>
      </c>
      <c r="B4" s="30">
        <f t="shared" ca="1" si="0"/>
        <v>19</v>
      </c>
      <c r="C4" s="30">
        <f t="shared" ca="1" si="1"/>
        <v>0</v>
      </c>
      <c r="D4" s="30">
        <f t="shared" ca="1" si="1"/>
        <v>0</v>
      </c>
      <c r="E4" s="30">
        <f t="shared" ca="1" si="2"/>
        <v>19</v>
      </c>
      <c r="F4" s="37">
        <f t="shared" ca="1" si="3"/>
        <v>19</v>
      </c>
    </row>
    <row r="5" spans="1:6" x14ac:dyDescent="0.25">
      <c r="A5" s="29" t="s">
        <v>456</v>
      </c>
      <c r="B5" s="30">
        <f t="shared" ca="1" si="0"/>
        <v>57</v>
      </c>
      <c r="C5" s="30">
        <f t="shared" ca="1" si="1"/>
        <v>0</v>
      </c>
      <c r="D5" s="30">
        <f t="shared" ca="1" si="1"/>
        <v>0</v>
      </c>
      <c r="E5" s="30">
        <f t="shared" ca="1" si="2"/>
        <v>57</v>
      </c>
      <c r="F5" s="37">
        <f t="shared" ca="1" si="3"/>
        <v>57</v>
      </c>
    </row>
    <row r="6" spans="1:6" x14ac:dyDescent="0.25">
      <c r="A6" s="29" t="s">
        <v>457</v>
      </c>
      <c r="B6" s="30">
        <f t="shared" ca="1" si="0"/>
        <v>95</v>
      </c>
      <c r="C6" s="30">
        <f t="shared" ca="1" si="1"/>
        <v>0</v>
      </c>
      <c r="D6" s="30">
        <f t="shared" ca="1" si="1"/>
        <v>0</v>
      </c>
      <c r="E6" s="30">
        <f ca="1">SUM(B6:D6)+(IF('Macro Data'!B21="",Calculations!D56,'Macro Data'!B21))</f>
        <v>95</v>
      </c>
      <c r="F6" s="37">
        <f t="shared" ca="1" si="3"/>
        <v>95</v>
      </c>
    </row>
    <row r="7" spans="1:6" x14ac:dyDescent="0.25">
      <c r="A7" s="29" t="s">
        <v>458</v>
      </c>
      <c r="B7" s="30">
        <f t="shared" ca="1" si="0"/>
        <v>72</v>
      </c>
      <c r="C7" s="30">
        <f t="shared" ca="1" si="1"/>
        <v>0</v>
      </c>
      <c r="D7" s="30">
        <f t="shared" ca="1" si="1"/>
        <v>0</v>
      </c>
      <c r="E7" s="30">
        <f ca="1">SUM(B7:D7)+IF('Macro Data'!B20="",Calculations!D60,'Macro Data'!B20)</f>
        <v>72</v>
      </c>
      <c r="F7" s="37">
        <f t="shared" ca="1" si="3"/>
        <v>72</v>
      </c>
    </row>
    <row r="9" spans="1:6" x14ac:dyDescent="0.25">
      <c r="A9" s="29" t="s">
        <v>493</v>
      </c>
      <c r="B9" s="30">
        <f t="shared" ca="1" si="0"/>
        <v>97</v>
      </c>
      <c r="C9" s="30">
        <f t="shared" ref="C9:C10" ca="1" si="4">IF(B9&gt;95,RANDBETWEEN(1,100),0)</f>
        <v>82</v>
      </c>
      <c r="D9" s="30">
        <f t="shared" ref="D9:D10" ca="1" si="5">IF(C9&gt;95,RANDBETWEEN(1,100),0)</f>
        <v>0</v>
      </c>
      <c r="E9" s="30">
        <f t="shared" ref="E9:E10" ca="1" si="6">SUM(B9:D9)</f>
        <v>179</v>
      </c>
      <c r="F9" s="85">
        <f t="shared" ref="F9:F10" ca="1" si="7">IF(E9&gt;200,200,E9)</f>
        <v>179</v>
      </c>
    </row>
    <row r="10" spans="1:6" x14ac:dyDescent="0.25">
      <c r="A10" s="29" t="s">
        <v>494</v>
      </c>
      <c r="B10" s="30">
        <f t="shared" ca="1" si="0"/>
        <v>52</v>
      </c>
      <c r="C10" s="30">
        <f t="shared" ca="1" si="4"/>
        <v>0</v>
      </c>
      <c r="D10" s="30">
        <f t="shared" ca="1" si="5"/>
        <v>0</v>
      </c>
      <c r="E10" s="30">
        <f t="shared" ca="1" si="6"/>
        <v>52</v>
      </c>
      <c r="F10" s="85">
        <f t="shared" ca="1" si="7"/>
        <v>52</v>
      </c>
    </row>
    <row r="11" spans="1:6" x14ac:dyDescent="0.25">
      <c r="B11" s="30"/>
      <c r="C11" s="30"/>
      <c r="D11" s="30"/>
      <c r="E11" s="30"/>
      <c r="F11" s="85"/>
    </row>
    <row r="12" spans="1:6" x14ac:dyDescent="0.25">
      <c r="B12" s="30"/>
      <c r="C12" s="30"/>
      <c r="D12" s="30"/>
      <c r="E12" s="30"/>
      <c r="F12" s="8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E553-7C43-4EEA-9D81-FEC517B6667E}">
  <sheetPr codeName="Sheet6"/>
  <dimension ref="A1:D26"/>
  <sheetViews>
    <sheetView workbookViewId="0">
      <selection activeCell="D7" sqref="D7"/>
    </sheetView>
  </sheetViews>
  <sheetFormatPr defaultColWidth="0.85546875" defaultRowHeight="15" x14ac:dyDescent="0.25"/>
  <cols>
    <col min="1" max="1" width="34.42578125" bestFit="1" customWidth="1"/>
    <col min="2" max="3" width="16.7109375" style="30" customWidth="1"/>
    <col min="4" max="4" width="16.7109375" customWidth="1"/>
  </cols>
  <sheetData>
    <row r="1" spans="1:4" x14ac:dyDescent="0.25">
      <c r="B1" s="116"/>
      <c r="C1" s="116"/>
      <c r="D1" s="30"/>
    </row>
    <row r="2" spans="1:4" x14ac:dyDescent="0.25">
      <c r="A2" s="103"/>
      <c r="B2" s="96"/>
      <c r="C2" s="96"/>
      <c r="D2" s="96"/>
    </row>
    <row r="3" spans="1:4" x14ac:dyDescent="0.25">
      <c r="A3" s="103"/>
      <c r="B3" s="94"/>
      <c r="C3" s="96"/>
    </row>
    <row r="4" spans="1:4" x14ac:dyDescent="0.25">
      <c r="A4" s="103"/>
      <c r="B4" s="94"/>
      <c r="C4" s="96"/>
    </row>
    <row r="5" spans="1:4" x14ac:dyDescent="0.25">
      <c r="A5" s="103"/>
      <c r="B5" s="94"/>
      <c r="C5" s="96"/>
    </row>
    <row r="6" spans="1:4" x14ac:dyDescent="0.25">
      <c r="A6" s="91" t="s">
        <v>452</v>
      </c>
      <c r="B6" s="132"/>
      <c r="C6" s="132"/>
      <c r="D6" s="92"/>
    </row>
    <row r="7" spans="1:4" x14ac:dyDescent="0.25">
      <c r="A7" s="93" t="s">
        <v>437</v>
      </c>
      <c r="B7" s="94">
        <v>0.12730555236339569</v>
      </c>
      <c r="C7" s="115">
        <v>19.889999389648438</v>
      </c>
      <c r="D7" s="113">
        <v>19.219999313354492</v>
      </c>
    </row>
    <row r="8" spans="1:4" x14ac:dyDescent="0.25">
      <c r="A8" s="93" t="s">
        <v>438</v>
      </c>
      <c r="B8" s="94">
        <v>0.53852778673171997</v>
      </c>
      <c r="C8" s="115">
        <v>29.940000534057617</v>
      </c>
      <c r="D8" s="113">
        <v>28.459999084472656</v>
      </c>
    </row>
    <row r="9" spans="1:4" x14ac:dyDescent="0.25">
      <c r="A9" s="93"/>
      <c r="B9" s="94"/>
      <c r="C9" s="115"/>
      <c r="D9" s="113"/>
    </row>
    <row r="10" spans="1:4" x14ac:dyDescent="0.25">
      <c r="A10" s="93" t="s">
        <v>454</v>
      </c>
      <c r="B10" s="94"/>
      <c r="C10" s="115"/>
      <c r="D10" s="113"/>
    </row>
    <row r="11" spans="1:4" x14ac:dyDescent="0.25">
      <c r="A11" s="93" t="s">
        <v>437</v>
      </c>
      <c r="B11" s="94">
        <v>0.12530554831027985</v>
      </c>
      <c r="C11" s="115">
        <v>19.219999313354492</v>
      </c>
      <c r="D11" s="113">
        <v>17.860000610351563</v>
      </c>
    </row>
    <row r="12" spans="1:4" x14ac:dyDescent="0.25">
      <c r="A12" s="97" t="s">
        <v>438</v>
      </c>
      <c r="B12" s="98">
        <v>0.54552775621414185</v>
      </c>
      <c r="C12" s="117">
        <v>28.459999084472656</v>
      </c>
      <c r="D12" s="114">
        <v>30.579999923706055</v>
      </c>
    </row>
    <row r="13" spans="1:4" x14ac:dyDescent="0.25">
      <c r="A13" s="29"/>
    </row>
    <row r="14" spans="1:4" x14ac:dyDescent="0.25">
      <c r="A14" s="91"/>
      <c r="B14" s="92" t="s">
        <v>478</v>
      </c>
    </row>
    <row r="15" spans="1:4" x14ac:dyDescent="0.25">
      <c r="A15" s="93" t="s">
        <v>473</v>
      </c>
      <c r="B15" s="95" t="str">
        <f>Calculations!C6</f>
        <v>18 June 1876</v>
      </c>
    </row>
    <row r="16" spans="1:4" x14ac:dyDescent="0.25">
      <c r="A16" s="93" t="s">
        <v>474</v>
      </c>
      <c r="B16" s="95" t="str">
        <f>Calculations!C7</f>
        <v>19 June 1876</v>
      </c>
    </row>
    <row r="17" spans="1:2" x14ac:dyDescent="0.25">
      <c r="A17" s="97" t="s">
        <v>475</v>
      </c>
      <c r="B17" s="99" t="s">
        <v>210</v>
      </c>
    </row>
    <row r="18" spans="1:2" x14ac:dyDescent="0.25">
      <c r="A18" s="29"/>
    </row>
    <row r="19" spans="1:2" x14ac:dyDescent="0.25">
      <c r="A19" s="91"/>
      <c r="B19" s="92" t="s">
        <v>479</v>
      </c>
    </row>
    <row r="20" spans="1:2" x14ac:dyDescent="0.25">
      <c r="A20" s="93" t="s">
        <v>476</v>
      </c>
      <c r="B20" s="95"/>
    </row>
    <row r="21" spans="1:2" x14ac:dyDescent="0.25">
      <c r="A21" s="93" t="s">
        <v>477</v>
      </c>
      <c r="B21" s="95"/>
    </row>
    <row r="22" spans="1:2" x14ac:dyDescent="0.25">
      <c r="A22" s="102" t="s">
        <v>481</v>
      </c>
      <c r="B22" s="104"/>
    </row>
    <row r="24" spans="1:2" x14ac:dyDescent="0.25">
      <c r="A24" s="101" t="s">
        <v>5</v>
      </c>
      <c r="B24" s="30" t="s">
        <v>503</v>
      </c>
    </row>
    <row r="25" spans="1:2" x14ac:dyDescent="0.25">
      <c r="A25" s="101" t="s">
        <v>452</v>
      </c>
      <c r="B25" s="31"/>
    </row>
    <row r="26" spans="1:2" x14ac:dyDescent="0.25">
      <c r="A26" s="101" t="s">
        <v>454</v>
      </c>
      <c r="B26" s="31"/>
    </row>
  </sheetData>
  <mergeCells count="1">
    <mergeCell ref="B6:C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Generator</vt:lpstr>
      <vt:lpstr>Charts</vt:lpstr>
      <vt:lpstr>Calculations</vt:lpstr>
      <vt:lpstr>Curve Chart</vt:lpstr>
      <vt:lpstr>OE Rolls</vt:lpstr>
      <vt:lpstr>Macro Data</vt:lpstr>
      <vt:lpstr>SolarChart</vt:lpstr>
      <vt:lpstr>TemperatureModificationChart</vt:lpstr>
      <vt:lpstr>TemperatureModificationChart2</vt:lpstr>
      <vt:lpstr>TerrainEffectChart</vt:lpstr>
      <vt:lpstr>WeatherChart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Ewers</dc:creator>
  <cp:lastModifiedBy>Jessica Ewers</cp:lastModifiedBy>
  <dcterms:created xsi:type="dcterms:W3CDTF">2019-01-22T21:55:43Z</dcterms:created>
  <dcterms:modified xsi:type="dcterms:W3CDTF">2019-02-12T20:57:54Z</dcterms:modified>
</cp:coreProperties>
</file>